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E:\IA_Minirobots\Practica\"/>
    </mc:Choice>
  </mc:AlternateContent>
  <xr:revisionPtr revIDLastSave="0" documentId="13_ncr:1_{F1141604-A6C2-42B9-805D-F79237EA3BC9}" xr6:coauthVersionLast="47" xr6:coauthVersionMax="47" xr10:uidLastSave="{00000000-0000-0000-0000-000000000000}"/>
  <bookViews>
    <workbookView xWindow="-108" yWindow="-108" windowWidth="23256" windowHeight="12456" xr2:uid="{B1D6592E-88ED-4DCE-9DA1-18DF7DB10F50}"/>
  </bookViews>
  <sheets>
    <sheet name="Prueba1" sheetId="1" r:id="rId1"/>
    <sheet name="Prueba2" sheetId="2" r:id="rId2"/>
  </sheets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4" i="2" l="1"/>
  <c r="I34" i="2"/>
  <c r="J34" i="2" s="1"/>
  <c r="K34" i="2" s="1"/>
  <c r="L34" i="2" s="1"/>
  <c r="M34" i="2" s="1"/>
  <c r="N33" i="2"/>
  <c r="I33" i="2"/>
  <c r="J33" i="2" s="1"/>
  <c r="K33" i="2" s="1"/>
  <c r="L33" i="2" s="1"/>
  <c r="M33" i="2" s="1"/>
  <c r="N32" i="2"/>
  <c r="I32" i="2"/>
  <c r="J32" i="2" s="1"/>
  <c r="K32" i="2" s="1"/>
  <c r="L32" i="2" s="1"/>
  <c r="M32" i="2" s="1"/>
  <c r="N31" i="2"/>
  <c r="I31" i="2"/>
  <c r="J31" i="2" s="1"/>
  <c r="K31" i="2" s="1"/>
  <c r="L31" i="2" s="1"/>
  <c r="M31" i="2" s="1"/>
  <c r="AQ31" i="2" s="1"/>
  <c r="N30" i="2"/>
  <c r="I30" i="2"/>
  <c r="J30" i="2" s="1"/>
  <c r="K30" i="2" s="1"/>
  <c r="L30" i="2" s="1"/>
  <c r="M30" i="2" s="1"/>
  <c r="N29" i="2"/>
  <c r="I29" i="2"/>
  <c r="J29" i="2" s="1"/>
  <c r="K29" i="2" s="1"/>
  <c r="L29" i="2" s="1"/>
  <c r="M29" i="2" s="1"/>
  <c r="N28" i="2"/>
  <c r="I28" i="2"/>
  <c r="J28" i="2" s="1"/>
  <c r="K28" i="2" s="1"/>
  <c r="L28" i="2" s="1"/>
  <c r="M28" i="2" s="1"/>
  <c r="N27" i="2"/>
  <c r="I27" i="2"/>
  <c r="J27" i="2" s="1"/>
  <c r="K27" i="2" s="1"/>
  <c r="L27" i="2" s="1"/>
  <c r="AH26" i="2"/>
  <c r="Y26" i="2"/>
  <c r="AH2" i="2"/>
  <c r="AH14" i="2"/>
  <c r="N22" i="2"/>
  <c r="AQ22" i="2" s="1"/>
  <c r="I22" i="2"/>
  <c r="J22" i="2" s="1"/>
  <c r="K22" i="2" s="1"/>
  <c r="L22" i="2" s="1"/>
  <c r="M22" i="2" s="1"/>
  <c r="N21" i="2"/>
  <c r="AQ21" i="2" s="1"/>
  <c r="I21" i="2"/>
  <c r="J21" i="2" s="1"/>
  <c r="K21" i="2" s="1"/>
  <c r="L21" i="2" s="1"/>
  <c r="M21" i="2" s="1"/>
  <c r="N20" i="2"/>
  <c r="AQ20" i="2" s="1"/>
  <c r="I20" i="2"/>
  <c r="J20" i="2" s="1"/>
  <c r="K20" i="2" s="1"/>
  <c r="L20" i="2" s="1"/>
  <c r="M20" i="2" s="1"/>
  <c r="N19" i="2"/>
  <c r="AQ19" i="2" s="1"/>
  <c r="I19" i="2"/>
  <c r="J19" i="2" s="1"/>
  <c r="K19" i="2" s="1"/>
  <c r="L19" i="2" s="1"/>
  <c r="M19" i="2" s="1"/>
  <c r="N18" i="2"/>
  <c r="AQ18" i="2" s="1"/>
  <c r="I18" i="2"/>
  <c r="J18" i="2" s="1"/>
  <c r="K18" i="2" s="1"/>
  <c r="L18" i="2" s="1"/>
  <c r="M18" i="2" s="1"/>
  <c r="N17" i="2"/>
  <c r="AQ17" i="2" s="1"/>
  <c r="I17" i="2"/>
  <c r="J17" i="2" s="1"/>
  <c r="K17" i="2" s="1"/>
  <c r="L17" i="2" s="1"/>
  <c r="M17" i="2" s="1"/>
  <c r="N16" i="2"/>
  <c r="AQ16" i="2" s="1"/>
  <c r="I16" i="2"/>
  <c r="J16" i="2" s="1"/>
  <c r="K16" i="2" s="1"/>
  <c r="L16" i="2" s="1"/>
  <c r="M16" i="2" s="1"/>
  <c r="N15" i="2"/>
  <c r="AQ15" i="2" s="1"/>
  <c r="I15" i="2"/>
  <c r="J15" i="2" s="1"/>
  <c r="K15" i="2" s="1"/>
  <c r="L15" i="2" s="1"/>
  <c r="Y14" i="2"/>
  <c r="N4" i="2"/>
  <c r="AQ4" i="2" s="1"/>
  <c r="N5" i="2"/>
  <c r="AQ5" i="2" s="1"/>
  <c r="N6" i="2"/>
  <c r="AQ6" i="2" s="1"/>
  <c r="N7" i="2"/>
  <c r="AQ7" i="2" s="1"/>
  <c r="N8" i="2"/>
  <c r="AQ8" i="2" s="1"/>
  <c r="N9" i="2"/>
  <c r="AQ9" i="2" s="1"/>
  <c r="N10" i="2"/>
  <c r="AQ10" i="2" s="1"/>
  <c r="N3" i="2"/>
  <c r="AQ3" i="2" s="1"/>
  <c r="Y2" i="2"/>
  <c r="I12" i="1"/>
  <c r="AP3" i="1" s="1"/>
  <c r="I13" i="1"/>
  <c r="AP4" i="1" s="1"/>
  <c r="I14" i="1"/>
  <c r="AP5" i="1" s="1"/>
  <c r="I15" i="1"/>
  <c r="AP6" i="1" s="1"/>
  <c r="I16" i="1"/>
  <c r="AP7" i="1" s="1"/>
  <c r="I17" i="1"/>
  <c r="AP8" i="1" s="1"/>
  <c r="I18" i="1"/>
  <c r="AP9" i="1" s="1"/>
  <c r="I11" i="1"/>
  <c r="AP2" i="1" s="1"/>
  <c r="I4" i="2"/>
  <c r="J4" i="2" s="1"/>
  <c r="K4" i="2" s="1"/>
  <c r="L4" i="2" s="1"/>
  <c r="I5" i="2"/>
  <c r="J5" i="2" s="1"/>
  <c r="K5" i="2" s="1"/>
  <c r="L5" i="2" s="1"/>
  <c r="I6" i="2"/>
  <c r="J6" i="2" s="1"/>
  <c r="K6" i="2" s="1"/>
  <c r="L6" i="2" s="1"/>
  <c r="I7" i="2"/>
  <c r="J7" i="2" s="1"/>
  <c r="K7" i="2" s="1"/>
  <c r="L7" i="2" s="1"/>
  <c r="I8" i="2"/>
  <c r="J8" i="2" s="1"/>
  <c r="K8" i="2" s="1"/>
  <c r="L8" i="2" s="1"/>
  <c r="I9" i="2"/>
  <c r="J9" i="2" s="1"/>
  <c r="K9" i="2" s="1"/>
  <c r="L9" i="2" s="1"/>
  <c r="I10" i="2"/>
  <c r="J10" i="2" s="1"/>
  <c r="K10" i="2" s="1"/>
  <c r="L10" i="2" s="1"/>
  <c r="I3" i="2"/>
  <c r="J3" i="2" s="1"/>
  <c r="K3" i="2" s="1"/>
  <c r="L3" i="2" s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B11" i="1"/>
  <c r="C11" i="1"/>
  <c r="D11" i="1"/>
  <c r="E11" i="1"/>
  <c r="F11" i="1"/>
  <c r="G11" i="1"/>
  <c r="H11" i="1"/>
  <c r="A11" i="1"/>
  <c r="M3" i="1"/>
  <c r="M4" i="1"/>
  <c r="M5" i="1"/>
  <c r="M6" i="1"/>
  <c r="M7" i="1"/>
  <c r="M8" i="1"/>
  <c r="M9" i="1"/>
  <c r="M2" i="1"/>
  <c r="L10" i="1"/>
  <c r="L3" i="1"/>
  <c r="L4" i="1"/>
  <c r="L5" i="1"/>
  <c r="L6" i="1"/>
  <c r="L7" i="1"/>
  <c r="L8" i="1"/>
  <c r="L9" i="1"/>
  <c r="L2" i="1"/>
  <c r="K3" i="1"/>
  <c r="K4" i="1"/>
  <c r="K5" i="1"/>
  <c r="K6" i="1"/>
  <c r="K7" i="1"/>
  <c r="K8" i="1"/>
  <c r="K9" i="1"/>
  <c r="K2" i="1"/>
  <c r="J3" i="1"/>
  <c r="J4" i="1"/>
  <c r="J5" i="1"/>
  <c r="J6" i="1"/>
  <c r="J7" i="1"/>
  <c r="J8" i="1"/>
  <c r="J9" i="1"/>
  <c r="J2" i="1"/>
  <c r="I3" i="1"/>
  <c r="I4" i="1"/>
  <c r="I5" i="1"/>
  <c r="I6" i="1"/>
  <c r="I7" i="1"/>
  <c r="I8" i="1"/>
  <c r="I9" i="1"/>
  <c r="I2" i="1"/>
  <c r="AQ32" i="2" l="1"/>
  <c r="AQ33" i="2"/>
  <c r="AQ34" i="2"/>
  <c r="AQ30" i="2"/>
  <c r="AQ28" i="2"/>
  <c r="AQ29" i="2"/>
  <c r="L35" i="2"/>
  <c r="M27" i="2"/>
  <c r="AQ27" i="2" s="1"/>
  <c r="L23" i="2"/>
  <c r="M15" i="2"/>
  <c r="L11" i="2"/>
  <c r="M3" i="2" s="1"/>
  <c r="M5" i="2" l="1"/>
  <c r="M8" i="2"/>
  <c r="M4" i="2"/>
  <c r="M6" i="2"/>
  <c r="M7" i="2"/>
  <c r="M9" i="2"/>
  <c r="M10" i="2"/>
</calcChain>
</file>

<file path=xl/sharedStrings.xml><?xml version="1.0" encoding="utf-8"?>
<sst xmlns="http://schemas.openxmlformats.org/spreadsheetml/2006/main" count="47" uniqueCount="13">
  <si>
    <t>Decimal</t>
  </si>
  <si>
    <t>x</t>
  </si>
  <si>
    <t>Pob. Nueva</t>
  </si>
  <si>
    <t>x2-1.23x-6.26</t>
  </si>
  <si>
    <t>Aptitud</t>
  </si>
  <si>
    <t>Probab.</t>
  </si>
  <si>
    <t>Selección</t>
  </si>
  <si>
    <t>Aptitud total =</t>
  </si>
  <si>
    <t>Cruce</t>
  </si>
  <si>
    <t>Mutación</t>
  </si>
  <si>
    <t>Validacion</t>
  </si>
  <si>
    <t>Validación</t>
  </si>
  <si>
    <t>y(aleatorio)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</si>
</sst>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2" borderId="2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165" fontId="0" fillId="0" borderId="0" xfId="0" applyNumberFormat="1" applyBorder="1"/>
    <xf numFmtId="0" fontId="0" fillId="5" borderId="0" xfId="0" applyFill="1" applyBorder="1"/>
    <xf numFmtId="0" fontId="0" fillId="0" borderId="5" xfId="0" applyBorder="1"/>
    <xf numFmtId="0" fontId="0" fillId="4" borderId="0" xfId="0" applyFill="1" applyBorder="1"/>
    <xf numFmtId="0" fontId="0" fillId="3" borderId="6" xfId="0" applyFill="1" applyBorder="1"/>
    <xf numFmtId="0" fontId="0" fillId="3" borderId="7" xfId="0" applyFill="1" applyBorder="1"/>
    <xf numFmtId="0" fontId="1" fillId="0" borderId="7" xfId="0" applyFont="1" applyBorder="1"/>
    <xf numFmtId="165" fontId="0" fillId="0" borderId="7" xfId="0" applyNumberFormat="1" applyBorder="1"/>
    <xf numFmtId="0" fontId="0" fillId="3" borderId="8" xfId="0" applyFill="1" applyBorder="1"/>
    <xf numFmtId="0" fontId="0" fillId="0" borderId="0" xfId="0" applyFill="1" applyBorder="1"/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vertical="center" wrapText="1"/>
    </xf>
    <xf numFmtId="0" fontId="1" fillId="2" borderId="5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7C0B4-855E-4D7B-ABEC-874B3F3AA9A9}">
  <dimension ref="A1:AP18"/>
  <sheetViews>
    <sheetView tabSelected="1" workbookViewId="0">
      <selection activeCell="AB8" sqref="AB8"/>
    </sheetView>
  </sheetViews>
  <sheetFormatPr baseColWidth="10" defaultRowHeight="14.4" x14ac:dyDescent="0.3"/>
  <cols>
    <col min="1" max="8" width="2" bestFit="1" customWidth="1"/>
    <col min="9" max="9" width="12.5546875" bestFit="1" customWidth="1"/>
    <col min="10" max="10" width="9.5546875" bestFit="1" customWidth="1"/>
    <col min="11" max="11" width="12.21875" bestFit="1" customWidth="1"/>
    <col min="12" max="12" width="13.5546875" bestFit="1" customWidth="1"/>
    <col min="14" max="14" width="2.21875" customWidth="1"/>
    <col min="15" max="22" width="2" bestFit="1" customWidth="1"/>
    <col min="23" max="23" width="2.21875" customWidth="1"/>
    <col min="24" max="31" width="2" bestFit="1" customWidth="1"/>
    <col min="32" max="32" width="2.21875" customWidth="1"/>
    <col min="33" max="40" width="2" bestFit="1" customWidth="1"/>
  </cols>
  <sheetData>
    <row r="1" spans="1:42" x14ac:dyDescent="0.3">
      <c r="A1" s="5" t="s">
        <v>2</v>
      </c>
      <c r="B1" s="5"/>
      <c r="C1" s="5"/>
      <c r="D1" s="5"/>
      <c r="E1" s="5"/>
      <c r="F1" s="5"/>
      <c r="G1" s="5"/>
      <c r="H1" s="5"/>
      <c r="I1" s="2" t="s">
        <v>0</v>
      </c>
      <c r="J1" s="1" t="s">
        <v>1</v>
      </c>
      <c r="K1" s="2" t="s">
        <v>3</v>
      </c>
      <c r="L1" s="2" t="s">
        <v>4</v>
      </c>
      <c r="M1" s="2" t="s">
        <v>5</v>
      </c>
      <c r="N1" s="2"/>
      <c r="O1" s="5" t="s">
        <v>6</v>
      </c>
      <c r="P1" s="5"/>
      <c r="Q1" s="5"/>
      <c r="R1" s="5"/>
      <c r="S1" s="5"/>
      <c r="T1" s="5"/>
      <c r="U1" s="5"/>
      <c r="V1" s="5"/>
      <c r="X1" s="5" t="s">
        <v>8</v>
      </c>
      <c r="Y1" s="5"/>
      <c r="Z1" s="5"/>
      <c r="AA1" s="5"/>
      <c r="AB1" s="5"/>
      <c r="AC1" s="5"/>
      <c r="AD1" s="5"/>
      <c r="AE1" s="5"/>
      <c r="AG1" s="5" t="s">
        <v>9</v>
      </c>
      <c r="AH1" s="5"/>
      <c r="AI1" s="5"/>
      <c r="AJ1" s="5"/>
      <c r="AK1" s="5"/>
      <c r="AL1" s="5"/>
      <c r="AM1" s="5"/>
      <c r="AN1" s="5"/>
      <c r="AP1" t="s">
        <v>10</v>
      </c>
    </row>
    <row r="2" spans="1:42" x14ac:dyDescent="0.3">
      <c r="A2">
        <v>0</v>
      </c>
      <c r="B2">
        <v>1</v>
      </c>
      <c r="C2">
        <v>0</v>
      </c>
      <c r="D2">
        <v>1</v>
      </c>
      <c r="E2">
        <v>0</v>
      </c>
      <c r="F2">
        <v>0</v>
      </c>
      <c r="G2">
        <v>1</v>
      </c>
      <c r="H2">
        <v>1</v>
      </c>
      <c r="I2">
        <f>BIN2DEC(_xlfn.CONCAT(A2:H2))</f>
        <v>83</v>
      </c>
      <c r="J2" s="3">
        <f>1+((I2/255)*3)</f>
        <v>1.9764705882352942</v>
      </c>
      <c r="K2" s="3">
        <f>(J2^2)-(1.23*J2)-6.26</f>
        <v>-4.7846228373702413</v>
      </c>
      <c r="L2" s="4">
        <f>10-ABS(K2)</f>
        <v>5.2153771626297587</v>
      </c>
      <c r="M2">
        <f>L2/$L$10</f>
        <v>0.1022310710169131</v>
      </c>
      <c r="O2" s="14">
        <v>0</v>
      </c>
      <c r="P2" s="14">
        <v>1</v>
      </c>
      <c r="Q2" s="14">
        <v>1</v>
      </c>
      <c r="R2" s="14">
        <v>0</v>
      </c>
      <c r="S2" s="11">
        <v>0</v>
      </c>
      <c r="T2" s="11">
        <v>0</v>
      </c>
      <c r="U2" s="11">
        <v>0</v>
      </c>
      <c r="V2" s="11">
        <v>1</v>
      </c>
      <c r="AP2" t="b">
        <f ca="1">M2&gt;I11</f>
        <v>0</v>
      </c>
    </row>
    <row r="3" spans="1:42" x14ac:dyDescent="0.3">
      <c r="A3">
        <v>0</v>
      </c>
      <c r="B3">
        <v>1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f t="shared" ref="I3:I9" si="0">BIN2DEC(_xlfn.CONCAT(A3:H3))</f>
        <v>68</v>
      </c>
      <c r="J3" s="3">
        <f t="shared" ref="J3:J9" si="1">1+((I3/255)*3)</f>
        <v>1.8</v>
      </c>
      <c r="K3" s="3">
        <f t="shared" ref="K3:K9" si="2">(J3^2)-(1.23*J3)-6.26</f>
        <v>-5.234</v>
      </c>
      <c r="L3" s="4">
        <f t="shared" ref="L3:L9" si="3">10-ABS(K3)</f>
        <v>4.766</v>
      </c>
      <c r="M3">
        <f t="shared" ref="M3:M9" si="4">L3/$L$10</f>
        <v>9.3422444681053388E-2</v>
      </c>
      <c r="O3" s="11">
        <v>1</v>
      </c>
      <c r="P3" s="11">
        <v>0</v>
      </c>
      <c r="Q3" s="11">
        <v>0</v>
      </c>
      <c r="R3" s="11">
        <v>0</v>
      </c>
      <c r="S3" s="14">
        <v>1</v>
      </c>
      <c r="T3" s="14">
        <v>1</v>
      </c>
      <c r="U3" s="14">
        <v>0</v>
      </c>
      <c r="V3" s="14">
        <v>1</v>
      </c>
      <c r="AP3" t="b">
        <f t="shared" ref="AP3:AP9" ca="1" si="5">M3&gt;I12</f>
        <v>0</v>
      </c>
    </row>
    <row r="4" spans="1:42" x14ac:dyDescent="0.3">
      <c r="A4">
        <v>1</v>
      </c>
      <c r="B4">
        <v>0</v>
      </c>
      <c r="C4">
        <v>0</v>
      </c>
      <c r="D4">
        <v>1</v>
      </c>
      <c r="E4">
        <v>0</v>
      </c>
      <c r="F4">
        <v>1</v>
      </c>
      <c r="G4">
        <v>0</v>
      </c>
      <c r="H4">
        <v>1</v>
      </c>
      <c r="I4">
        <f t="shared" si="0"/>
        <v>149</v>
      </c>
      <c r="J4" s="3">
        <f t="shared" si="1"/>
        <v>2.7529411764705882</v>
      </c>
      <c r="K4" s="3">
        <f t="shared" si="2"/>
        <v>-2.0674325259515562</v>
      </c>
      <c r="L4" s="4">
        <f t="shared" si="3"/>
        <v>7.9325674740484438</v>
      </c>
      <c r="M4">
        <f t="shared" si="4"/>
        <v>0.1554930436472963</v>
      </c>
      <c r="O4" s="14">
        <v>0</v>
      </c>
      <c r="P4" s="14">
        <v>1</v>
      </c>
      <c r="Q4" s="14">
        <v>1</v>
      </c>
      <c r="R4" s="14">
        <v>1</v>
      </c>
      <c r="S4" s="14">
        <v>0</v>
      </c>
      <c r="T4" s="14">
        <v>1</v>
      </c>
      <c r="U4" s="14">
        <v>0</v>
      </c>
      <c r="V4" s="11">
        <v>0</v>
      </c>
      <c r="AP4" t="b">
        <f t="shared" ca="1" si="5"/>
        <v>0</v>
      </c>
    </row>
    <row r="5" spans="1:42" x14ac:dyDescent="0.3">
      <c r="A5">
        <v>0</v>
      </c>
      <c r="B5">
        <v>1</v>
      </c>
      <c r="C5">
        <v>1</v>
      </c>
      <c r="D5">
        <v>1</v>
      </c>
      <c r="E5">
        <v>0</v>
      </c>
      <c r="F5">
        <v>1</v>
      </c>
      <c r="G5">
        <v>0</v>
      </c>
      <c r="H5">
        <v>0</v>
      </c>
      <c r="I5">
        <f t="shared" si="0"/>
        <v>116</v>
      </c>
      <c r="J5" s="3">
        <f t="shared" si="1"/>
        <v>2.3647058823529412</v>
      </c>
      <c r="K5" s="3">
        <f t="shared" si="2"/>
        <v>-3.5767543252595146</v>
      </c>
      <c r="L5" s="4">
        <f t="shared" si="3"/>
        <v>6.4232456747404854</v>
      </c>
      <c r="M5">
        <f t="shared" si="4"/>
        <v>0.1259075354010194</v>
      </c>
      <c r="O5" s="11">
        <v>0</v>
      </c>
      <c r="P5" s="11">
        <v>1</v>
      </c>
      <c r="Q5" s="11">
        <v>0</v>
      </c>
      <c r="R5" s="11">
        <v>1</v>
      </c>
      <c r="S5" s="11">
        <v>0</v>
      </c>
      <c r="T5" s="11">
        <v>0</v>
      </c>
      <c r="U5" s="11">
        <v>1</v>
      </c>
      <c r="V5" s="14">
        <v>1</v>
      </c>
      <c r="AP5" t="b">
        <f t="shared" ca="1" si="5"/>
        <v>0</v>
      </c>
    </row>
    <row r="6" spans="1:42" x14ac:dyDescent="0.3">
      <c r="A6">
        <v>1</v>
      </c>
      <c r="B6">
        <v>1</v>
      </c>
      <c r="C6">
        <v>0</v>
      </c>
      <c r="D6">
        <v>0</v>
      </c>
      <c r="E6">
        <v>1</v>
      </c>
      <c r="F6">
        <v>0</v>
      </c>
      <c r="G6">
        <v>1</v>
      </c>
      <c r="H6">
        <v>1</v>
      </c>
      <c r="I6">
        <f t="shared" si="0"/>
        <v>203</v>
      </c>
      <c r="J6" s="3">
        <f t="shared" si="1"/>
        <v>3.388235294117647</v>
      </c>
      <c r="K6" s="3">
        <f t="shared" si="2"/>
        <v>1.0526089965397922</v>
      </c>
      <c r="L6" s="4">
        <f t="shared" si="3"/>
        <v>8.9473910034602078</v>
      </c>
      <c r="M6">
        <f t="shared" si="4"/>
        <v>0.17538546812012507</v>
      </c>
      <c r="O6" s="14">
        <v>0</v>
      </c>
      <c r="P6" s="14">
        <v>1</v>
      </c>
      <c r="Q6" s="14">
        <v>0</v>
      </c>
      <c r="R6" s="11">
        <v>0</v>
      </c>
      <c r="S6" s="11">
        <v>0</v>
      </c>
      <c r="T6" s="11">
        <v>1</v>
      </c>
      <c r="U6" s="11">
        <v>0</v>
      </c>
      <c r="V6" s="11">
        <v>0</v>
      </c>
      <c r="AP6" t="b">
        <f t="shared" ca="1" si="5"/>
        <v>0</v>
      </c>
    </row>
    <row r="7" spans="1:42" x14ac:dyDescent="0.3">
      <c r="A7">
        <v>1</v>
      </c>
      <c r="B7">
        <v>0</v>
      </c>
      <c r="C7">
        <v>0</v>
      </c>
      <c r="D7">
        <v>0</v>
      </c>
      <c r="E7">
        <v>1</v>
      </c>
      <c r="F7">
        <v>1</v>
      </c>
      <c r="G7">
        <v>0</v>
      </c>
      <c r="H7">
        <v>1</v>
      </c>
      <c r="I7">
        <f t="shared" si="0"/>
        <v>141</v>
      </c>
      <c r="J7" s="3">
        <f t="shared" si="1"/>
        <v>2.658823529411765</v>
      </c>
      <c r="K7" s="3">
        <f t="shared" si="2"/>
        <v>-2.4610103806228354</v>
      </c>
      <c r="L7" s="4">
        <f t="shared" si="3"/>
        <v>7.5389896193771646</v>
      </c>
      <c r="M7">
        <f t="shared" si="4"/>
        <v>0.14777818729905559</v>
      </c>
      <c r="O7" s="11">
        <v>1</v>
      </c>
      <c r="P7" s="11">
        <v>0</v>
      </c>
      <c r="Q7" s="11">
        <v>0</v>
      </c>
      <c r="R7" s="14">
        <v>1</v>
      </c>
      <c r="S7" s="14">
        <v>0</v>
      </c>
      <c r="T7" s="14">
        <v>1</v>
      </c>
      <c r="U7" s="14">
        <v>0</v>
      </c>
      <c r="V7" s="14">
        <v>1</v>
      </c>
      <c r="AP7" t="b">
        <f t="shared" ca="1" si="5"/>
        <v>0</v>
      </c>
    </row>
    <row r="8" spans="1:42" x14ac:dyDescent="0.3">
      <c r="A8">
        <v>0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>
        <v>1</v>
      </c>
      <c r="I8">
        <f t="shared" si="0"/>
        <v>97</v>
      </c>
      <c r="J8" s="3">
        <f t="shared" si="1"/>
        <v>2.1411764705882352</v>
      </c>
      <c r="K8" s="3">
        <f t="shared" si="2"/>
        <v>-4.309010380622837</v>
      </c>
      <c r="L8" s="4">
        <f t="shared" si="3"/>
        <v>5.690989619377163</v>
      </c>
      <c r="M8">
        <f t="shared" si="4"/>
        <v>0.11155395780459759</v>
      </c>
      <c r="O8" s="14">
        <v>0</v>
      </c>
      <c r="P8" s="14">
        <v>1</v>
      </c>
      <c r="Q8" s="14">
        <v>1</v>
      </c>
      <c r="R8" s="14">
        <v>1</v>
      </c>
      <c r="S8" s="14">
        <v>0</v>
      </c>
      <c r="T8" s="11">
        <v>1</v>
      </c>
      <c r="U8" s="11">
        <v>0</v>
      </c>
      <c r="V8" s="11">
        <v>0</v>
      </c>
      <c r="AP8" t="b">
        <f t="shared" ca="1" si="5"/>
        <v>0</v>
      </c>
    </row>
    <row r="9" spans="1:42" x14ac:dyDescent="0.3">
      <c r="A9">
        <v>0</v>
      </c>
      <c r="B9">
        <v>0</v>
      </c>
      <c r="C9">
        <v>1</v>
      </c>
      <c r="D9">
        <v>1</v>
      </c>
      <c r="E9">
        <v>1</v>
      </c>
      <c r="F9">
        <v>0</v>
      </c>
      <c r="G9">
        <v>1</v>
      </c>
      <c r="H9">
        <v>0</v>
      </c>
      <c r="I9">
        <f t="shared" si="0"/>
        <v>58</v>
      </c>
      <c r="J9" s="3">
        <f t="shared" si="1"/>
        <v>1.6823529411764706</v>
      </c>
      <c r="K9" s="3">
        <f t="shared" si="2"/>
        <v>-5.498982698961937</v>
      </c>
      <c r="L9" s="4">
        <f t="shared" si="3"/>
        <v>4.501017301038063</v>
      </c>
      <c r="M9">
        <f t="shared" si="4"/>
        <v>8.8228292029939717E-2</v>
      </c>
      <c r="O9" s="11">
        <v>1</v>
      </c>
      <c r="P9" s="11">
        <v>0</v>
      </c>
      <c r="Q9" s="11">
        <v>0</v>
      </c>
      <c r="R9" s="11">
        <v>1</v>
      </c>
      <c r="S9" s="11">
        <v>0</v>
      </c>
      <c r="T9" s="14">
        <v>1</v>
      </c>
      <c r="U9" s="14">
        <v>0</v>
      </c>
      <c r="V9" s="14">
        <v>1</v>
      </c>
      <c r="AP9" t="b">
        <f t="shared" ca="1" si="5"/>
        <v>0</v>
      </c>
    </row>
    <row r="10" spans="1:42" x14ac:dyDescent="0.3">
      <c r="K10" s="2" t="s">
        <v>7</v>
      </c>
      <c r="L10" s="4">
        <f>SUM(L2:L9)</f>
        <v>51.015577854671278</v>
      </c>
    </row>
    <row r="11" spans="1:42" x14ac:dyDescent="0.3">
      <c r="A11">
        <f ca="1">RANDBETWEEN(0,1)</f>
        <v>1</v>
      </c>
      <c r="B11">
        <f t="shared" ref="B11:I18" ca="1" si="6">RANDBETWEEN(0,1)</f>
        <v>1</v>
      </c>
      <c r="C11">
        <f t="shared" ca="1" si="6"/>
        <v>1</v>
      </c>
      <c r="D11">
        <f t="shared" ca="1" si="6"/>
        <v>1</v>
      </c>
      <c r="E11">
        <f t="shared" ca="1" si="6"/>
        <v>0</v>
      </c>
      <c r="F11">
        <f t="shared" ca="1" si="6"/>
        <v>0</v>
      </c>
      <c r="G11">
        <f t="shared" ca="1" si="6"/>
        <v>0</v>
      </c>
      <c r="H11">
        <f t="shared" ca="1" si="6"/>
        <v>0</v>
      </c>
      <c r="I11" s="3">
        <f ca="1">RAND()</f>
        <v>0.69654718218138734</v>
      </c>
    </row>
    <row r="12" spans="1:42" x14ac:dyDescent="0.3">
      <c r="A12">
        <f t="shared" ref="A12:A18" ca="1" si="7">RANDBETWEEN(0,1)</f>
        <v>0</v>
      </c>
      <c r="B12">
        <f t="shared" ca="1" si="6"/>
        <v>0</v>
      </c>
      <c r="C12">
        <f t="shared" ca="1" si="6"/>
        <v>0</v>
      </c>
      <c r="D12">
        <f t="shared" ca="1" si="6"/>
        <v>1</v>
      </c>
      <c r="E12">
        <f t="shared" ca="1" si="6"/>
        <v>1</v>
      </c>
      <c r="F12">
        <f t="shared" ca="1" si="6"/>
        <v>0</v>
      </c>
      <c r="G12">
        <f t="shared" ca="1" si="6"/>
        <v>1</v>
      </c>
      <c r="H12">
        <f t="shared" ca="1" si="6"/>
        <v>0</v>
      </c>
      <c r="I12" s="3">
        <f t="shared" ref="I12:I18" ca="1" si="8">RAND()</f>
        <v>0.83015438141624753</v>
      </c>
    </row>
    <row r="13" spans="1:42" x14ac:dyDescent="0.3">
      <c r="A13">
        <f t="shared" ca="1" si="7"/>
        <v>1</v>
      </c>
      <c r="B13">
        <f t="shared" ca="1" si="6"/>
        <v>0</v>
      </c>
      <c r="C13">
        <f t="shared" ca="1" si="6"/>
        <v>1</v>
      </c>
      <c r="D13">
        <f t="shared" ca="1" si="6"/>
        <v>1</v>
      </c>
      <c r="E13">
        <f t="shared" ca="1" si="6"/>
        <v>1</v>
      </c>
      <c r="F13">
        <f t="shared" ca="1" si="6"/>
        <v>1</v>
      </c>
      <c r="G13">
        <f t="shared" ca="1" si="6"/>
        <v>1</v>
      </c>
      <c r="H13">
        <f t="shared" ca="1" si="6"/>
        <v>1</v>
      </c>
      <c r="I13" s="3">
        <f t="shared" ca="1" si="8"/>
        <v>0.81905345098066895</v>
      </c>
    </row>
    <row r="14" spans="1:42" x14ac:dyDescent="0.3">
      <c r="A14">
        <f t="shared" ca="1" si="7"/>
        <v>0</v>
      </c>
      <c r="B14">
        <f t="shared" ca="1" si="6"/>
        <v>0</v>
      </c>
      <c r="C14">
        <f t="shared" ca="1" si="6"/>
        <v>0</v>
      </c>
      <c r="D14">
        <f t="shared" ca="1" si="6"/>
        <v>0</v>
      </c>
      <c r="E14">
        <f t="shared" ca="1" si="6"/>
        <v>1</v>
      </c>
      <c r="F14">
        <f t="shared" ca="1" si="6"/>
        <v>0</v>
      </c>
      <c r="G14">
        <f t="shared" ca="1" si="6"/>
        <v>0</v>
      </c>
      <c r="H14">
        <f t="shared" ca="1" si="6"/>
        <v>1</v>
      </c>
      <c r="I14" s="3">
        <f t="shared" ca="1" si="8"/>
        <v>0.43240559911990506</v>
      </c>
    </row>
    <row r="15" spans="1:42" x14ac:dyDescent="0.3">
      <c r="A15">
        <f t="shared" ca="1" si="7"/>
        <v>1</v>
      </c>
      <c r="B15">
        <f t="shared" ca="1" si="6"/>
        <v>1</v>
      </c>
      <c r="C15">
        <f t="shared" ca="1" si="6"/>
        <v>0</v>
      </c>
      <c r="D15">
        <f t="shared" ca="1" si="6"/>
        <v>0</v>
      </c>
      <c r="E15">
        <f t="shared" ca="1" si="6"/>
        <v>0</v>
      </c>
      <c r="F15">
        <f t="shared" ca="1" si="6"/>
        <v>0</v>
      </c>
      <c r="G15">
        <f t="shared" ca="1" si="6"/>
        <v>0</v>
      </c>
      <c r="H15">
        <f t="shared" ca="1" si="6"/>
        <v>1</v>
      </c>
      <c r="I15" s="3">
        <f t="shared" ca="1" si="8"/>
        <v>0.29931946356777339</v>
      </c>
    </row>
    <row r="16" spans="1:42" x14ac:dyDescent="0.3">
      <c r="A16">
        <f t="shared" ca="1" si="7"/>
        <v>1</v>
      </c>
      <c r="B16">
        <f t="shared" ca="1" si="6"/>
        <v>0</v>
      </c>
      <c r="C16">
        <f t="shared" ca="1" si="6"/>
        <v>0</v>
      </c>
      <c r="D16">
        <f t="shared" ca="1" si="6"/>
        <v>0</v>
      </c>
      <c r="E16">
        <f t="shared" ca="1" si="6"/>
        <v>1</v>
      </c>
      <c r="F16">
        <f t="shared" ca="1" si="6"/>
        <v>0</v>
      </c>
      <c r="G16">
        <f t="shared" ca="1" si="6"/>
        <v>0</v>
      </c>
      <c r="H16">
        <f t="shared" ca="1" si="6"/>
        <v>0</v>
      </c>
      <c r="I16" s="3">
        <f t="shared" ca="1" si="8"/>
        <v>0.71065041810227725</v>
      </c>
    </row>
    <row r="17" spans="1:9" x14ac:dyDescent="0.3">
      <c r="A17">
        <f t="shared" ca="1" si="7"/>
        <v>0</v>
      </c>
      <c r="B17">
        <f t="shared" ca="1" si="6"/>
        <v>0</v>
      </c>
      <c r="C17">
        <f t="shared" ca="1" si="6"/>
        <v>1</v>
      </c>
      <c r="D17">
        <f t="shared" ca="1" si="6"/>
        <v>1</v>
      </c>
      <c r="E17">
        <f t="shared" ca="1" si="6"/>
        <v>0</v>
      </c>
      <c r="F17">
        <f t="shared" ca="1" si="6"/>
        <v>0</v>
      </c>
      <c r="G17">
        <f t="shared" ca="1" si="6"/>
        <v>0</v>
      </c>
      <c r="H17">
        <f t="shared" ca="1" si="6"/>
        <v>0</v>
      </c>
      <c r="I17" s="3">
        <f t="shared" ca="1" si="8"/>
        <v>0.5690588499884377</v>
      </c>
    </row>
    <row r="18" spans="1:9" x14ac:dyDescent="0.3">
      <c r="A18">
        <f t="shared" ca="1" si="7"/>
        <v>1</v>
      </c>
      <c r="B18">
        <f t="shared" ca="1" si="6"/>
        <v>0</v>
      </c>
      <c r="C18">
        <f t="shared" ca="1" si="6"/>
        <v>1</v>
      </c>
      <c r="D18">
        <f t="shared" ca="1" si="6"/>
        <v>0</v>
      </c>
      <c r="E18">
        <f t="shared" ca="1" si="6"/>
        <v>0</v>
      </c>
      <c r="F18">
        <f t="shared" ca="1" si="6"/>
        <v>1</v>
      </c>
      <c r="G18">
        <f t="shared" ca="1" si="6"/>
        <v>1</v>
      </c>
      <c r="H18">
        <f t="shared" ca="1" si="6"/>
        <v>0</v>
      </c>
      <c r="I18" s="3">
        <f t="shared" ca="1" si="8"/>
        <v>0.95106001411928476</v>
      </c>
    </row>
  </sheetData>
  <mergeCells count="4">
    <mergeCell ref="A1:H1"/>
    <mergeCell ref="O1:V1"/>
    <mergeCell ref="X1:AE1"/>
    <mergeCell ref="AG1:A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CC4C6-F213-4894-ACA1-2DA267BCD380}">
  <dimension ref="A1:AQ35"/>
  <sheetViews>
    <sheetView topLeftCell="A14" workbookViewId="0">
      <selection activeCell="P15" sqref="P15:W22"/>
    </sheetView>
  </sheetViews>
  <sheetFormatPr baseColWidth="10" defaultRowHeight="14.4" x14ac:dyDescent="0.3"/>
  <cols>
    <col min="1" max="8" width="2" bestFit="1" customWidth="1"/>
    <col min="11" max="11" width="12.77734375" bestFit="1" customWidth="1"/>
    <col min="12" max="12" width="13.5546875" bestFit="1" customWidth="1"/>
    <col min="15" max="15" width="4.77734375" bestFit="1" customWidth="1"/>
    <col min="16" max="23" width="2" bestFit="1" customWidth="1"/>
    <col min="24" max="24" width="4.77734375" bestFit="1" customWidth="1"/>
    <col min="25" max="32" width="2" bestFit="1" customWidth="1"/>
    <col min="33" max="33" width="4.77734375" bestFit="1" customWidth="1"/>
    <col min="34" max="41" width="2" bestFit="1" customWidth="1"/>
  </cols>
  <sheetData>
    <row r="1" spans="1:43" x14ac:dyDescent="0.3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8" t="s">
        <v>8</v>
      </c>
      <c r="Z1" s="8"/>
      <c r="AA1" s="8"/>
      <c r="AB1" s="8"/>
      <c r="AC1" s="8"/>
      <c r="AD1" s="8"/>
      <c r="AE1" s="8"/>
      <c r="AF1" s="8"/>
      <c r="AG1" s="7"/>
      <c r="AH1" s="8" t="s">
        <v>9</v>
      </c>
      <c r="AI1" s="8"/>
      <c r="AJ1" s="8"/>
      <c r="AK1" s="8"/>
      <c r="AL1" s="8"/>
      <c r="AM1" s="8"/>
      <c r="AN1" s="8"/>
      <c r="AO1" s="8"/>
      <c r="AP1" s="7"/>
      <c r="AQ1" s="9"/>
    </row>
    <row r="2" spans="1:43" ht="24" customHeight="1" x14ac:dyDescent="0.3">
      <c r="A2" s="23" t="s">
        <v>2</v>
      </c>
      <c r="B2" s="24"/>
      <c r="C2" s="24"/>
      <c r="D2" s="24"/>
      <c r="E2" s="24"/>
      <c r="F2" s="24"/>
      <c r="G2" s="24"/>
      <c r="H2" s="24"/>
      <c r="I2" s="25" t="s">
        <v>0</v>
      </c>
      <c r="J2" s="26" t="s">
        <v>1</v>
      </c>
      <c r="K2" s="25" t="s">
        <v>3</v>
      </c>
      <c r="L2" s="25" t="s">
        <v>4</v>
      </c>
      <c r="M2" s="25" t="s">
        <v>5</v>
      </c>
      <c r="N2" s="25" t="s">
        <v>12</v>
      </c>
      <c r="O2" s="25"/>
      <c r="P2" s="24" t="s">
        <v>6</v>
      </c>
      <c r="Q2" s="24"/>
      <c r="R2" s="24"/>
      <c r="S2" s="24"/>
      <c r="T2" s="24"/>
      <c r="U2" s="24"/>
      <c r="V2" s="24"/>
      <c r="W2" s="24"/>
      <c r="X2" s="27"/>
      <c r="Y2" s="24" t="str">
        <f ca="1">"Seleccionar "&amp; RANDBETWEEN(1,8)&amp;" valores"</f>
        <v>Seleccionar 3 valores</v>
      </c>
      <c r="Z2" s="24"/>
      <c r="AA2" s="24"/>
      <c r="AB2" s="24"/>
      <c r="AC2" s="24"/>
      <c r="AD2" s="24"/>
      <c r="AE2" s="24"/>
      <c r="AF2" s="24"/>
      <c r="AG2" s="27"/>
      <c r="AH2" s="24" t="str">
        <f ca="1">"Muta el gen numero "&amp;RANDBETWEEN(1,64)</f>
        <v>Muta el gen numero 18</v>
      </c>
      <c r="AI2" s="24"/>
      <c r="AJ2" s="24"/>
      <c r="AK2" s="24"/>
      <c r="AL2" s="24"/>
      <c r="AM2" s="24"/>
      <c r="AN2" s="24"/>
      <c r="AO2" s="24"/>
      <c r="AP2" s="25"/>
      <c r="AQ2" s="28" t="s">
        <v>11</v>
      </c>
    </row>
    <row r="3" spans="1:43" x14ac:dyDescent="0.3">
      <c r="A3" s="10">
        <v>0</v>
      </c>
      <c r="B3" s="11">
        <v>0</v>
      </c>
      <c r="C3" s="11">
        <v>0</v>
      </c>
      <c r="D3" s="11">
        <v>0</v>
      </c>
      <c r="E3" s="11">
        <v>1</v>
      </c>
      <c r="F3" s="11">
        <v>0</v>
      </c>
      <c r="G3" s="11">
        <v>1</v>
      </c>
      <c r="H3" s="11">
        <v>0</v>
      </c>
      <c r="I3" s="11">
        <f>BIN2DEC(_xlfn.CONCAT(A3:H3))</f>
        <v>10</v>
      </c>
      <c r="J3" s="12">
        <f>1+((I3/255)*3)</f>
        <v>1.1176470588235294</v>
      </c>
      <c r="K3" s="12">
        <f>POWER(J3,2)-(1.23*J3)-6.26</f>
        <v>-6.3855709342560552</v>
      </c>
      <c r="L3" s="13">
        <f>10-ABS(K3)</f>
        <v>3.6144290657439448</v>
      </c>
      <c r="M3" s="11">
        <f>L3/$L$11</f>
        <v>7.1733911872571193E-2</v>
      </c>
      <c r="N3" s="11">
        <f ca="1">RAND()</f>
        <v>0.40611138880117326</v>
      </c>
      <c r="O3" s="11"/>
      <c r="P3" s="14">
        <v>1</v>
      </c>
      <c r="Q3" s="14">
        <v>1</v>
      </c>
      <c r="R3" s="14">
        <v>0</v>
      </c>
      <c r="S3" s="14">
        <v>0</v>
      </c>
      <c r="T3" s="11">
        <v>1</v>
      </c>
      <c r="U3" s="11">
        <v>0</v>
      </c>
      <c r="V3" s="11">
        <v>1</v>
      </c>
      <c r="W3" s="11">
        <v>1</v>
      </c>
      <c r="X3" s="11"/>
      <c r="Y3" s="11">
        <v>1</v>
      </c>
      <c r="Z3" s="11">
        <v>1</v>
      </c>
      <c r="AA3" s="11">
        <v>0</v>
      </c>
      <c r="AB3" s="11">
        <v>0</v>
      </c>
      <c r="AC3" s="11">
        <v>1</v>
      </c>
      <c r="AD3" s="11">
        <v>0</v>
      </c>
      <c r="AE3" s="11">
        <v>1</v>
      </c>
      <c r="AF3" s="11">
        <v>1</v>
      </c>
      <c r="AG3" s="11"/>
      <c r="AH3" s="11">
        <v>1</v>
      </c>
      <c r="AI3" s="11">
        <v>1</v>
      </c>
      <c r="AJ3" s="11">
        <v>0</v>
      </c>
      <c r="AK3" s="11">
        <v>0</v>
      </c>
      <c r="AL3" s="11">
        <v>1</v>
      </c>
      <c r="AM3" s="11">
        <v>0</v>
      </c>
      <c r="AN3" s="11">
        <v>1</v>
      </c>
      <c r="AO3" s="11">
        <v>1</v>
      </c>
      <c r="AP3" s="11"/>
      <c r="AQ3" s="15" t="b">
        <f ca="1">M3&gt;N3</f>
        <v>0</v>
      </c>
    </row>
    <row r="4" spans="1:43" x14ac:dyDescent="0.3">
      <c r="A4" s="10">
        <v>0</v>
      </c>
      <c r="B4" s="11">
        <v>1</v>
      </c>
      <c r="C4" s="11">
        <v>1</v>
      </c>
      <c r="D4" s="11">
        <v>1</v>
      </c>
      <c r="E4" s="11">
        <v>0</v>
      </c>
      <c r="F4" s="11">
        <v>0</v>
      </c>
      <c r="G4" s="11">
        <v>1</v>
      </c>
      <c r="H4" s="11">
        <v>1</v>
      </c>
      <c r="I4" s="11">
        <f t="shared" ref="I4:I10" si="0">BIN2DEC(_xlfn.CONCAT(A4:H4))</f>
        <v>115</v>
      </c>
      <c r="J4" s="12">
        <f t="shared" ref="J4:J10" si="1">1+((I4/255)*3)</f>
        <v>2.3529411764705883</v>
      </c>
      <c r="K4" s="12">
        <f t="shared" ref="K4:K10" si="2">POWER(J4,2)-(1.23*J4)-6.26</f>
        <v>-3.617785467128027</v>
      </c>
      <c r="L4" s="13">
        <f t="shared" ref="L4:L10" si="3">10-ABS(K4)</f>
        <v>6.3822145328719735</v>
      </c>
      <c r="M4" s="11">
        <f t="shared" ref="M4:M10" si="4">L4/$L$11</f>
        <v>0.12666487750220923</v>
      </c>
      <c r="N4" s="11">
        <f t="shared" ref="N4:N10" ca="1" si="5">RAND()</f>
        <v>0.74675070616242467</v>
      </c>
      <c r="O4" s="11"/>
      <c r="P4" s="11">
        <v>1</v>
      </c>
      <c r="Q4" s="11">
        <v>1</v>
      </c>
      <c r="R4" s="11">
        <v>0</v>
      </c>
      <c r="S4" s="11">
        <v>0</v>
      </c>
      <c r="T4" s="14">
        <v>1</v>
      </c>
      <c r="U4" s="14">
        <v>0</v>
      </c>
      <c r="V4" s="14">
        <v>1</v>
      </c>
      <c r="W4" s="14">
        <v>1</v>
      </c>
      <c r="X4" s="11"/>
      <c r="Y4" s="11">
        <v>1</v>
      </c>
      <c r="Z4" s="11">
        <v>1</v>
      </c>
      <c r="AA4" s="11">
        <v>0</v>
      </c>
      <c r="AB4" s="11">
        <v>0</v>
      </c>
      <c r="AC4" s="11">
        <v>1</v>
      </c>
      <c r="AD4" s="11">
        <v>0</v>
      </c>
      <c r="AE4" s="11">
        <v>1</v>
      </c>
      <c r="AF4" s="11">
        <v>1</v>
      </c>
      <c r="AG4" s="11"/>
      <c r="AH4" s="11">
        <v>1</v>
      </c>
      <c r="AI4" s="11">
        <v>1</v>
      </c>
      <c r="AJ4" s="11">
        <v>0</v>
      </c>
      <c r="AK4" s="11">
        <v>0</v>
      </c>
      <c r="AL4" s="11">
        <v>1</v>
      </c>
      <c r="AM4" s="11">
        <v>0</v>
      </c>
      <c r="AN4" s="11">
        <v>1</v>
      </c>
      <c r="AO4" s="11">
        <v>1</v>
      </c>
      <c r="AP4" s="11"/>
      <c r="AQ4" s="15" t="b">
        <f t="shared" ref="AQ4:AQ10" ca="1" si="6">M4&gt;N4</f>
        <v>0</v>
      </c>
    </row>
    <row r="5" spans="1:43" x14ac:dyDescent="0.3">
      <c r="A5" s="10">
        <v>1</v>
      </c>
      <c r="B5" s="11">
        <v>0</v>
      </c>
      <c r="C5" s="11">
        <v>0</v>
      </c>
      <c r="D5" s="11">
        <v>0</v>
      </c>
      <c r="E5" s="11">
        <v>1</v>
      </c>
      <c r="F5" s="11">
        <v>1</v>
      </c>
      <c r="G5" s="11">
        <v>0</v>
      </c>
      <c r="H5" s="11">
        <v>0</v>
      </c>
      <c r="I5" s="11">
        <f t="shared" si="0"/>
        <v>140</v>
      </c>
      <c r="J5" s="12">
        <f t="shared" si="1"/>
        <v>2.6470588235294121</v>
      </c>
      <c r="K5" s="12">
        <f t="shared" si="2"/>
        <v>-2.5089619377162609</v>
      </c>
      <c r="L5" s="13">
        <f t="shared" si="3"/>
        <v>7.4910380622837387</v>
      </c>
      <c r="M5" s="11">
        <f t="shared" si="4"/>
        <v>0.14867118828996442</v>
      </c>
      <c r="N5" s="11">
        <f t="shared" ca="1" si="5"/>
        <v>0.95931707945546174</v>
      </c>
      <c r="O5" s="11"/>
      <c r="P5" s="14">
        <v>1</v>
      </c>
      <c r="Q5" s="14">
        <v>1</v>
      </c>
      <c r="R5" s="14">
        <v>0</v>
      </c>
      <c r="S5" s="14">
        <v>0</v>
      </c>
      <c r="T5" s="14">
        <v>1</v>
      </c>
      <c r="U5" s="14">
        <v>0</v>
      </c>
      <c r="V5" s="14">
        <v>1</v>
      </c>
      <c r="W5" s="11">
        <v>1</v>
      </c>
      <c r="X5" s="11"/>
      <c r="Y5" s="11">
        <v>1</v>
      </c>
      <c r="Z5" s="11">
        <v>1</v>
      </c>
      <c r="AA5" s="11">
        <v>0</v>
      </c>
      <c r="AB5" s="11">
        <v>0</v>
      </c>
      <c r="AC5" s="11">
        <v>1</v>
      </c>
      <c r="AD5" s="11">
        <v>1</v>
      </c>
      <c r="AE5" s="11">
        <v>0</v>
      </c>
      <c r="AF5" s="11">
        <v>1</v>
      </c>
      <c r="AG5" s="11"/>
      <c r="AH5" s="11">
        <v>1</v>
      </c>
      <c r="AI5" s="11">
        <v>1</v>
      </c>
      <c r="AJ5" s="11">
        <v>0</v>
      </c>
      <c r="AK5" s="11">
        <v>0</v>
      </c>
      <c r="AL5" s="11">
        <v>1</v>
      </c>
      <c r="AM5" s="11">
        <v>1</v>
      </c>
      <c r="AN5" s="11">
        <v>0</v>
      </c>
      <c r="AO5" s="11">
        <v>1</v>
      </c>
      <c r="AP5" s="11"/>
      <c r="AQ5" s="15" t="b">
        <f t="shared" ca="1" si="6"/>
        <v>0</v>
      </c>
    </row>
    <row r="6" spans="1:43" x14ac:dyDescent="0.3">
      <c r="A6" s="10">
        <v>1</v>
      </c>
      <c r="B6" s="11">
        <v>1</v>
      </c>
      <c r="C6" s="11">
        <v>0</v>
      </c>
      <c r="D6" s="11">
        <v>0</v>
      </c>
      <c r="E6" s="11">
        <v>1</v>
      </c>
      <c r="F6" s="11">
        <v>0</v>
      </c>
      <c r="G6" s="11">
        <v>1</v>
      </c>
      <c r="H6" s="11">
        <v>1</v>
      </c>
      <c r="I6" s="11">
        <f t="shared" si="0"/>
        <v>203</v>
      </c>
      <c r="J6" s="12">
        <f t="shared" si="1"/>
        <v>3.388235294117647</v>
      </c>
      <c r="K6" s="12">
        <f t="shared" si="2"/>
        <v>1.0526089965397922</v>
      </c>
      <c r="L6" s="13">
        <f t="shared" si="3"/>
        <v>8.9473910034602078</v>
      </c>
      <c r="M6" s="11">
        <f t="shared" si="4"/>
        <v>0.17757475553045474</v>
      </c>
      <c r="N6" s="11">
        <f t="shared" ca="1" si="5"/>
        <v>0.20767048261142373</v>
      </c>
      <c r="O6" s="11"/>
      <c r="P6" s="11">
        <v>0</v>
      </c>
      <c r="Q6" s="11">
        <v>1</v>
      </c>
      <c r="R6" s="11">
        <v>0</v>
      </c>
      <c r="S6" s="11">
        <v>0</v>
      </c>
      <c r="T6" s="11">
        <v>0</v>
      </c>
      <c r="U6" s="11">
        <v>1</v>
      </c>
      <c r="V6" s="11">
        <v>0</v>
      </c>
      <c r="W6" s="14">
        <v>1</v>
      </c>
      <c r="X6" s="11"/>
      <c r="Y6" s="11">
        <v>0</v>
      </c>
      <c r="Z6" s="11">
        <v>1</v>
      </c>
      <c r="AA6" s="11">
        <v>0</v>
      </c>
      <c r="AB6" s="11">
        <v>0</v>
      </c>
      <c r="AC6" s="11">
        <v>0</v>
      </c>
      <c r="AD6" s="11">
        <v>0</v>
      </c>
      <c r="AE6" s="11">
        <v>1</v>
      </c>
      <c r="AF6" s="11">
        <v>1</v>
      </c>
      <c r="AG6" s="11"/>
      <c r="AH6" s="11">
        <v>0</v>
      </c>
      <c r="AI6" s="11">
        <v>1</v>
      </c>
      <c r="AJ6" s="11">
        <v>0</v>
      </c>
      <c r="AK6" s="11">
        <v>0</v>
      </c>
      <c r="AL6" s="11">
        <v>0</v>
      </c>
      <c r="AM6" s="11">
        <v>0</v>
      </c>
      <c r="AN6" s="11">
        <v>1</v>
      </c>
      <c r="AO6" s="11">
        <v>1</v>
      </c>
      <c r="AP6" s="11"/>
      <c r="AQ6" s="15" t="b">
        <f t="shared" ca="1" si="6"/>
        <v>0</v>
      </c>
    </row>
    <row r="7" spans="1:43" x14ac:dyDescent="0.3">
      <c r="A7" s="10">
        <v>0</v>
      </c>
      <c r="B7" s="11">
        <v>0</v>
      </c>
      <c r="C7" s="11">
        <v>0</v>
      </c>
      <c r="D7" s="11">
        <v>0</v>
      </c>
      <c r="E7" s="11">
        <v>1</v>
      </c>
      <c r="F7" s="11">
        <v>0</v>
      </c>
      <c r="G7" s="11">
        <v>0</v>
      </c>
      <c r="H7" s="11">
        <v>1</v>
      </c>
      <c r="I7" s="11">
        <f t="shared" si="0"/>
        <v>9</v>
      </c>
      <c r="J7" s="12">
        <f t="shared" si="1"/>
        <v>1.1058823529411765</v>
      </c>
      <c r="K7" s="12">
        <f t="shared" si="2"/>
        <v>-6.3972595155709335</v>
      </c>
      <c r="L7" s="13">
        <f t="shared" si="3"/>
        <v>3.6027404844290665</v>
      </c>
      <c r="M7" s="11">
        <f t="shared" si="4"/>
        <v>7.150193397323891E-2</v>
      </c>
      <c r="N7" s="11">
        <f t="shared" ca="1" si="5"/>
        <v>0.21976351587023524</v>
      </c>
      <c r="O7" s="11"/>
      <c r="P7" s="14">
        <v>1</v>
      </c>
      <c r="Q7" s="14">
        <v>1</v>
      </c>
      <c r="R7" s="14">
        <v>0</v>
      </c>
      <c r="S7" s="11">
        <v>0</v>
      </c>
      <c r="T7" s="11">
        <v>0</v>
      </c>
      <c r="U7" s="11">
        <v>1</v>
      </c>
      <c r="V7" s="11">
        <v>0</v>
      </c>
      <c r="W7" s="11">
        <v>1</v>
      </c>
      <c r="X7" s="11"/>
      <c r="Y7" s="11">
        <v>1</v>
      </c>
      <c r="Z7" s="11">
        <v>1</v>
      </c>
      <c r="AA7" s="11">
        <v>0</v>
      </c>
      <c r="AB7" s="11">
        <v>0</v>
      </c>
      <c r="AC7" s="11">
        <v>0</v>
      </c>
      <c r="AD7" s="11">
        <v>1</v>
      </c>
      <c r="AE7" s="11">
        <v>0</v>
      </c>
      <c r="AF7" s="11">
        <v>1</v>
      </c>
      <c r="AG7" s="11"/>
      <c r="AH7" s="11">
        <v>1</v>
      </c>
      <c r="AI7" s="11">
        <v>1</v>
      </c>
      <c r="AJ7" s="11">
        <v>0</v>
      </c>
      <c r="AK7" s="11">
        <v>0</v>
      </c>
      <c r="AL7" s="11">
        <v>0</v>
      </c>
      <c r="AM7" s="11">
        <v>1</v>
      </c>
      <c r="AN7" s="11">
        <v>0</v>
      </c>
      <c r="AO7" s="11">
        <v>1</v>
      </c>
      <c r="AP7" s="11"/>
      <c r="AQ7" s="15" t="b">
        <f t="shared" ca="1" si="6"/>
        <v>0</v>
      </c>
    </row>
    <row r="8" spans="1:43" x14ac:dyDescent="0.3">
      <c r="A8" s="10">
        <v>0</v>
      </c>
      <c r="B8" s="11">
        <v>1</v>
      </c>
      <c r="C8" s="11">
        <v>1</v>
      </c>
      <c r="D8" s="11">
        <v>0</v>
      </c>
      <c r="E8" s="11">
        <v>1</v>
      </c>
      <c r="F8" s="11">
        <v>1</v>
      </c>
      <c r="G8" s="11">
        <v>1</v>
      </c>
      <c r="H8" s="11">
        <v>1</v>
      </c>
      <c r="I8" s="11">
        <f t="shared" si="0"/>
        <v>111</v>
      </c>
      <c r="J8" s="12">
        <f t="shared" si="1"/>
        <v>2.3058823529411763</v>
      </c>
      <c r="K8" s="12">
        <f t="shared" si="2"/>
        <v>-3.7791418685121112</v>
      </c>
      <c r="L8" s="13">
        <f t="shared" si="3"/>
        <v>6.2208581314878888</v>
      </c>
      <c r="M8" s="11">
        <f t="shared" si="4"/>
        <v>0.1234625111902897</v>
      </c>
      <c r="N8" s="11">
        <f t="shared" ca="1" si="5"/>
        <v>0.36845687039444464</v>
      </c>
      <c r="O8" s="11"/>
      <c r="P8" s="11">
        <v>1</v>
      </c>
      <c r="Q8" s="11">
        <v>1</v>
      </c>
      <c r="R8" s="11">
        <v>0</v>
      </c>
      <c r="S8" s="14">
        <v>0</v>
      </c>
      <c r="T8" s="14">
        <v>0</v>
      </c>
      <c r="U8" s="14">
        <v>1</v>
      </c>
      <c r="V8" s="14">
        <v>0</v>
      </c>
      <c r="W8" s="14">
        <v>1</v>
      </c>
      <c r="X8" s="11"/>
      <c r="Y8" s="11">
        <v>1</v>
      </c>
      <c r="Z8" s="11">
        <v>1</v>
      </c>
      <c r="AA8" s="11">
        <v>0</v>
      </c>
      <c r="AB8" s="11">
        <v>0</v>
      </c>
      <c r="AC8" s="11">
        <v>0</v>
      </c>
      <c r="AD8" s="11">
        <v>1</v>
      </c>
      <c r="AE8" s="11">
        <v>0</v>
      </c>
      <c r="AF8" s="11">
        <v>1</v>
      </c>
      <c r="AG8" s="11"/>
      <c r="AH8" s="11">
        <v>1</v>
      </c>
      <c r="AI8" s="11">
        <v>1</v>
      </c>
      <c r="AJ8" s="11">
        <v>0</v>
      </c>
      <c r="AK8" s="16">
        <v>1</v>
      </c>
      <c r="AL8" s="11">
        <v>0</v>
      </c>
      <c r="AM8" s="11">
        <v>1</v>
      </c>
      <c r="AN8" s="11">
        <v>0</v>
      </c>
      <c r="AO8" s="11">
        <v>1</v>
      </c>
      <c r="AP8" s="11"/>
      <c r="AQ8" s="15" t="b">
        <f t="shared" ca="1" si="6"/>
        <v>0</v>
      </c>
    </row>
    <row r="9" spans="1:43" x14ac:dyDescent="0.3">
      <c r="A9" s="10">
        <v>1</v>
      </c>
      <c r="B9" s="11">
        <v>1</v>
      </c>
      <c r="C9" s="11">
        <v>0</v>
      </c>
      <c r="D9" s="11">
        <v>0</v>
      </c>
      <c r="E9" s="11">
        <v>0</v>
      </c>
      <c r="F9" s="11">
        <v>1</v>
      </c>
      <c r="G9" s="11">
        <v>0</v>
      </c>
      <c r="H9" s="11">
        <v>1</v>
      </c>
      <c r="I9" s="11">
        <f t="shared" si="0"/>
        <v>197</v>
      </c>
      <c r="J9" s="12">
        <f t="shared" si="1"/>
        <v>3.3176470588235296</v>
      </c>
      <c r="K9" s="12">
        <f t="shared" si="2"/>
        <v>0.66607612456747667</v>
      </c>
      <c r="L9" s="13">
        <f t="shared" si="3"/>
        <v>9.3339238754325233</v>
      </c>
      <c r="M9" s="11">
        <f t="shared" si="4"/>
        <v>0.185246095725426</v>
      </c>
      <c r="N9" s="11">
        <f t="shared" ca="1" si="5"/>
        <v>0.20825166806089912</v>
      </c>
      <c r="O9" s="11"/>
      <c r="P9" s="14">
        <v>1</v>
      </c>
      <c r="Q9" s="14">
        <v>1</v>
      </c>
      <c r="R9" s="14">
        <v>0</v>
      </c>
      <c r="S9" s="14">
        <v>0</v>
      </c>
      <c r="T9" s="14">
        <v>1</v>
      </c>
      <c r="U9" s="11">
        <v>0</v>
      </c>
      <c r="V9" s="11">
        <v>1</v>
      </c>
      <c r="W9" s="11">
        <v>1</v>
      </c>
      <c r="X9" s="11"/>
      <c r="Y9" s="11">
        <v>1</v>
      </c>
      <c r="Z9" s="11">
        <v>1</v>
      </c>
      <c r="AA9" s="11">
        <v>0</v>
      </c>
      <c r="AB9" s="11">
        <v>0</v>
      </c>
      <c r="AC9" s="11">
        <v>1</v>
      </c>
      <c r="AD9" s="11">
        <v>1</v>
      </c>
      <c r="AE9" s="11">
        <v>1</v>
      </c>
      <c r="AF9" s="11">
        <v>1</v>
      </c>
      <c r="AG9" s="11"/>
      <c r="AH9" s="11">
        <v>1</v>
      </c>
      <c r="AI9" s="11">
        <v>1</v>
      </c>
      <c r="AJ9" s="11">
        <v>0</v>
      </c>
      <c r="AK9" s="11">
        <v>0</v>
      </c>
      <c r="AL9" s="11">
        <v>1</v>
      </c>
      <c r="AM9" s="11">
        <v>1</v>
      </c>
      <c r="AN9" s="11">
        <v>1</v>
      </c>
      <c r="AO9" s="11">
        <v>1</v>
      </c>
      <c r="AP9" s="11"/>
      <c r="AQ9" s="15" t="b">
        <f t="shared" ca="1" si="6"/>
        <v>0</v>
      </c>
    </row>
    <row r="10" spans="1:43" x14ac:dyDescent="0.3">
      <c r="A10" s="10">
        <v>0</v>
      </c>
      <c r="B10" s="11">
        <v>1</v>
      </c>
      <c r="C10" s="11">
        <v>0</v>
      </c>
      <c r="D10" s="11">
        <v>0</v>
      </c>
      <c r="E10" s="11">
        <v>0</v>
      </c>
      <c r="F10" s="11">
        <v>1</v>
      </c>
      <c r="G10" s="11">
        <v>0</v>
      </c>
      <c r="H10" s="11">
        <v>1</v>
      </c>
      <c r="I10" s="11">
        <f t="shared" si="0"/>
        <v>69</v>
      </c>
      <c r="J10" s="12">
        <f t="shared" si="1"/>
        <v>1.8117647058823529</v>
      </c>
      <c r="K10" s="12">
        <f t="shared" si="2"/>
        <v>-5.2059792387543249</v>
      </c>
      <c r="L10" s="13">
        <f t="shared" si="3"/>
        <v>4.7940207612456751</v>
      </c>
      <c r="M10" s="11">
        <f t="shared" si="4"/>
        <v>9.5144725915845718E-2</v>
      </c>
      <c r="N10" s="11">
        <f t="shared" ca="1" si="5"/>
        <v>0.94438590094359065</v>
      </c>
      <c r="O10" s="11"/>
      <c r="P10" s="11">
        <v>0</v>
      </c>
      <c r="Q10" s="11">
        <v>1</v>
      </c>
      <c r="R10" s="11">
        <v>1</v>
      </c>
      <c r="S10" s="11">
        <v>0</v>
      </c>
      <c r="T10" s="11">
        <v>1</v>
      </c>
      <c r="U10" s="14">
        <v>1</v>
      </c>
      <c r="V10" s="14">
        <v>1</v>
      </c>
      <c r="W10" s="14">
        <v>1</v>
      </c>
      <c r="X10" s="11"/>
      <c r="Y10" s="11">
        <v>0</v>
      </c>
      <c r="Z10" s="11">
        <v>1</v>
      </c>
      <c r="AA10" s="11">
        <v>1</v>
      </c>
      <c r="AB10" s="11">
        <v>0</v>
      </c>
      <c r="AC10" s="11">
        <v>1</v>
      </c>
      <c r="AD10" s="11">
        <v>0</v>
      </c>
      <c r="AE10" s="11">
        <v>1</v>
      </c>
      <c r="AF10" s="11">
        <v>1</v>
      </c>
      <c r="AG10" s="11"/>
      <c r="AH10" s="11">
        <v>0</v>
      </c>
      <c r="AI10" s="11">
        <v>1</v>
      </c>
      <c r="AJ10" s="11">
        <v>1</v>
      </c>
      <c r="AK10" s="11">
        <v>0</v>
      </c>
      <c r="AL10" s="11">
        <v>1</v>
      </c>
      <c r="AM10" s="11">
        <v>0</v>
      </c>
      <c r="AN10" s="11">
        <v>1</v>
      </c>
      <c r="AO10" s="11">
        <v>1</v>
      </c>
      <c r="AP10" s="11"/>
      <c r="AQ10" s="15" t="b">
        <f t="shared" ca="1" si="6"/>
        <v>0</v>
      </c>
    </row>
    <row r="11" spans="1:43" x14ac:dyDescent="0.3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9" t="s">
        <v>7</v>
      </c>
      <c r="L11" s="20">
        <f>SUM(L3:L10)</f>
        <v>50.386615916955023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21">
        <v>1</v>
      </c>
    </row>
    <row r="13" spans="1:43" x14ac:dyDescent="0.3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8" t="s">
        <v>8</v>
      </c>
      <c r="Z13" s="8"/>
      <c r="AA13" s="8"/>
      <c r="AB13" s="8"/>
      <c r="AC13" s="8"/>
      <c r="AD13" s="8"/>
      <c r="AE13" s="8"/>
      <c r="AF13" s="8"/>
      <c r="AG13" s="7"/>
      <c r="AH13" s="8" t="s">
        <v>9</v>
      </c>
      <c r="AI13" s="8"/>
      <c r="AJ13" s="8"/>
      <c r="AK13" s="8"/>
      <c r="AL13" s="8"/>
      <c r="AM13" s="8"/>
      <c r="AN13" s="8"/>
      <c r="AO13" s="8"/>
      <c r="AP13" s="7"/>
      <c r="AQ13" s="9"/>
    </row>
    <row r="14" spans="1:43" ht="24" customHeight="1" x14ac:dyDescent="0.3">
      <c r="A14" s="23" t="s">
        <v>2</v>
      </c>
      <c r="B14" s="24"/>
      <c r="C14" s="24"/>
      <c r="D14" s="24"/>
      <c r="E14" s="24"/>
      <c r="F14" s="24"/>
      <c r="G14" s="24"/>
      <c r="H14" s="24"/>
      <c r="I14" s="25" t="s">
        <v>0</v>
      </c>
      <c r="J14" s="26" t="s">
        <v>1</v>
      </c>
      <c r="K14" s="25" t="s">
        <v>3</v>
      </c>
      <c r="L14" s="25" t="s">
        <v>4</v>
      </c>
      <c r="M14" s="25" t="s">
        <v>5</v>
      </c>
      <c r="N14" s="25" t="s">
        <v>12</v>
      </c>
      <c r="O14" s="25"/>
      <c r="P14" s="24" t="s">
        <v>6</v>
      </c>
      <c r="Q14" s="24"/>
      <c r="R14" s="24"/>
      <c r="S14" s="24"/>
      <c r="T14" s="24"/>
      <c r="U14" s="24"/>
      <c r="V14" s="24"/>
      <c r="W14" s="24"/>
      <c r="X14" s="27"/>
      <c r="Y14" s="24" t="str">
        <f ca="1">"Seleccionar "&amp; RANDBETWEEN(1,8)&amp;" valores"</f>
        <v>Seleccionar 5 valores</v>
      </c>
      <c r="Z14" s="24"/>
      <c r="AA14" s="24"/>
      <c r="AB14" s="24"/>
      <c r="AC14" s="24"/>
      <c r="AD14" s="24"/>
      <c r="AE14" s="24"/>
      <c r="AF14" s="24"/>
      <c r="AG14" s="27"/>
      <c r="AH14" s="24" t="str">
        <f ca="1">"Muta el gen numero "&amp;RANDBETWEEN(1,64)</f>
        <v>Muta el gen numero 54</v>
      </c>
      <c r="AI14" s="24"/>
      <c r="AJ14" s="24"/>
      <c r="AK14" s="24"/>
      <c r="AL14" s="24"/>
      <c r="AM14" s="24"/>
      <c r="AN14" s="24"/>
      <c r="AO14" s="24"/>
      <c r="AP14" s="25"/>
      <c r="AQ14" s="28" t="s">
        <v>11</v>
      </c>
    </row>
    <row r="15" spans="1:43" x14ac:dyDescent="0.3">
      <c r="A15" s="11">
        <v>1</v>
      </c>
      <c r="B15" s="11">
        <v>1</v>
      </c>
      <c r="C15" s="11">
        <v>0</v>
      </c>
      <c r="D15" s="11">
        <v>0</v>
      </c>
      <c r="E15" s="11">
        <v>1</v>
      </c>
      <c r="F15" s="11">
        <v>0</v>
      </c>
      <c r="G15" s="11">
        <v>1</v>
      </c>
      <c r="H15" s="11">
        <v>1</v>
      </c>
      <c r="I15" s="11">
        <f>BIN2DEC(_xlfn.CONCAT(A15:H15))</f>
        <v>203</v>
      </c>
      <c r="J15" s="12">
        <f>1+((I15/255)*3)</f>
        <v>3.388235294117647</v>
      </c>
      <c r="K15" s="12">
        <f>POWER(J15,2)-(1.23*J15)-6.26</f>
        <v>1.0526089965397922</v>
      </c>
      <c r="L15" s="13">
        <f>10-ABS(K15)</f>
        <v>8.9473910034602078</v>
      </c>
      <c r="M15" s="11">
        <f>L15/$L$11</f>
        <v>0.17757475553045474</v>
      </c>
      <c r="N15" s="11">
        <f ca="1">RAND()</f>
        <v>0.60629627940768083</v>
      </c>
      <c r="O15" s="11"/>
      <c r="P15" s="14">
        <v>0</v>
      </c>
      <c r="Q15" s="14">
        <v>1</v>
      </c>
      <c r="R15" s="14">
        <v>1</v>
      </c>
      <c r="S15" s="14">
        <v>0</v>
      </c>
      <c r="T15" s="11">
        <v>1</v>
      </c>
      <c r="U15" s="11">
        <v>0</v>
      </c>
      <c r="V15" s="11">
        <v>1</v>
      </c>
      <c r="W15" s="11">
        <v>1</v>
      </c>
      <c r="X15" s="11"/>
      <c r="Y15" s="22">
        <v>0</v>
      </c>
      <c r="Z15" s="22">
        <v>1</v>
      </c>
      <c r="AA15" s="22">
        <v>1</v>
      </c>
      <c r="AB15" s="22">
        <v>0</v>
      </c>
      <c r="AC15" s="22">
        <v>1</v>
      </c>
      <c r="AD15" s="22">
        <v>0</v>
      </c>
      <c r="AE15" s="22">
        <v>1</v>
      </c>
      <c r="AF15" s="22">
        <v>1</v>
      </c>
      <c r="AG15" s="22"/>
      <c r="AH15" s="22">
        <v>0</v>
      </c>
      <c r="AI15" s="22">
        <v>1</v>
      </c>
      <c r="AJ15" s="22">
        <v>1</v>
      </c>
      <c r="AK15" s="22">
        <v>0</v>
      </c>
      <c r="AL15" s="22">
        <v>1</v>
      </c>
      <c r="AM15" s="22">
        <v>0</v>
      </c>
      <c r="AN15" s="22">
        <v>1</v>
      </c>
      <c r="AO15" s="22">
        <v>1</v>
      </c>
      <c r="AP15" s="11"/>
      <c r="AQ15" s="15" t="b">
        <f ca="1">M15&gt;N15</f>
        <v>0</v>
      </c>
    </row>
    <row r="16" spans="1:43" x14ac:dyDescent="0.3">
      <c r="A16" s="11">
        <v>1</v>
      </c>
      <c r="B16" s="11">
        <v>1</v>
      </c>
      <c r="C16" s="11">
        <v>0</v>
      </c>
      <c r="D16" s="11">
        <v>0</v>
      </c>
      <c r="E16" s="11">
        <v>1</v>
      </c>
      <c r="F16" s="11">
        <v>0</v>
      </c>
      <c r="G16" s="11">
        <v>1</v>
      </c>
      <c r="H16" s="11">
        <v>1</v>
      </c>
      <c r="I16" s="11">
        <f t="shared" ref="I16:I22" si="7">BIN2DEC(_xlfn.CONCAT(A16:H16))</f>
        <v>203</v>
      </c>
      <c r="J16" s="12">
        <f t="shared" ref="J16:J22" si="8">1+((I16/255)*3)</f>
        <v>3.388235294117647</v>
      </c>
      <c r="K16" s="12">
        <f t="shared" ref="K16:K22" si="9">POWER(J16,2)-(1.23*J16)-6.26</f>
        <v>1.0526089965397922</v>
      </c>
      <c r="L16" s="13">
        <f t="shared" ref="L16:L22" si="10">10-ABS(K16)</f>
        <v>8.9473910034602078</v>
      </c>
      <c r="M16" s="11">
        <f t="shared" ref="M16:M22" si="11">L16/$L$11</f>
        <v>0.17757475553045474</v>
      </c>
      <c r="N16" s="11">
        <f t="shared" ref="N16:N22" ca="1" si="12">RAND()</f>
        <v>0.25944207423843069</v>
      </c>
      <c r="O16" s="11"/>
      <c r="P16" s="11">
        <v>1</v>
      </c>
      <c r="Q16" s="11">
        <v>1</v>
      </c>
      <c r="R16" s="11">
        <v>0</v>
      </c>
      <c r="S16" s="11">
        <v>0</v>
      </c>
      <c r="T16" s="14">
        <v>1</v>
      </c>
      <c r="U16" s="14">
        <v>0</v>
      </c>
      <c r="V16" s="14">
        <v>1</v>
      </c>
      <c r="W16" s="14">
        <v>1</v>
      </c>
      <c r="X16" s="11"/>
      <c r="Y16" s="22">
        <v>1</v>
      </c>
      <c r="Z16" s="22">
        <v>1</v>
      </c>
      <c r="AA16" s="22">
        <v>0</v>
      </c>
      <c r="AB16" s="22">
        <v>0</v>
      </c>
      <c r="AC16" s="22">
        <v>1</v>
      </c>
      <c r="AD16" s="22">
        <v>0</v>
      </c>
      <c r="AE16" s="22">
        <v>1</v>
      </c>
      <c r="AF16" s="22">
        <v>1</v>
      </c>
      <c r="AG16" s="22"/>
      <c r="AH16" s="22">
        <v>1</v>
      </c>
      <c r="AI16" s="16">
        <v>0</v>
      </c>
      <c r="AJ16" s="22">
        <v>0</v>
      </c>
      <c r="AK16" s="22">
        <v>0</v>
      </c>
      <c r="AL16" s="22">
        <v>1</v>
      </c>
      <c r="AM16" s="22">
        <v>0</v>
      </c>
      <c r="AN16" s="22">
        <v>1</v>
      </c>
      <c r="AO16" s="22">
        <v>1</v>
      </c>
      <c r="AP16" s="11"/>
      <c r="AQ16" s="15" t="b">
        <f t="shared" ref="AQ16:AQ22" ca="1" si="13">M16&gt;N16</f>
        <v>0</v>
      </c>
    </row>
    <row r="17" spans="1:43" x14ac:dyDescent="0.3">
      <c r="A17" s="11">
        <v>1</v>
      </c>
      <c r="B17" s="11">
        <v>1</v>
      </c>
      <c r="C17" s="11">
        <v>0</v>
      </c>
      <c r="D17" s="11">
        <v>0</v>
      </c>
      <c r="E17" s="11">
        <v>1</v>
      </c>
      <c r="F17" s="11">
        <v>1</v>
      </c>
      <c r="G17" s="11">
        <v>0</v>
      </c>
      <c r="H17" s="11">
        <v>1</v>
      </c>
      <c r="I17" s="11">
        <f t="shared" si="7"/>
        <v>205</v>
      </c>
      <c r="J17" s="12">
        <f t="shared" si="8"/>
        <v>3.4117647058823533</v>
      </c>
      <c r="K17" s="12">
        <f t="shared" si="9"/>
        <v>1.1836678200692052</v>
      </c>
      <c r="L17" s="13">
        <f t="shared" si="10"/>
        <v>8.8163321799307948</v>
      </c>
      <c r="M17" s="11">
        <f t="shared" si="11"/>
        <v>0.17497369131639007</v>
      </c>
      <c r="N17" s="11">
        <f t="shared" ca="1" si="12"/>
        <v>0.31651081795343372</v>
      </c>
      <c r="O17" s="11"/>
      <c r="P17" s="14">
        <v>1</v>
      </c>
      <c r="Q17" s="14">
        <v>1</v>
      </c>
      <c r="R17" s="14">
        <v>0</v>
      </c>
      <c r="S17" s="14">
        <v>0</v>
      </c>
      <c r="T17" s="14">
        <v>0</v>
      </c>
      <c r="U17" s="14">
        <v>1</v>
      </c>
      <c r="V17" s="14">
        <v>0</v>
      </c>
      <c r="W17" s="11">
        <v>1</v>
      </c>
      <c r="X17" s="11"/>
      <c r="Y17" s="22">
        <v>1</v>
      </c>
      <c r="Z17" s="22">
        <v>1</v>
      </c>
      <c r="AA17" s="22">
        <v>0</v>
      </c>
      <c r="AB17" s="22">
        <v>0</v>
      </c>
      <c r="AC17" s="22">
        <v>0</v>
      </c>
      <c r="AD17" s="22">
        <v>1</v>
      </c>
      <c r="AE17" s="22">
        <v>0</v>
      </c>
      <c r="AF17" s="22">
        <v>1</v>
      </c>
      <c r="AG17" s="22"/>
      <c r="AH17" s="22">
        <v>1</v>
      </c>
      <c r="AI17" s="22">
        <v>1</v>
      </c>
      <c r="AJ17" s="22">
        <v>0</v>
      </c>
      <c r="AK17" s="22">
        <v>0</v>
      </c>
      <c r="AL17" s="22">
        <v>0</v>
      </c>
      <c r="AM17" s="22">
        <v>1</v>
      </c>
      <c r="AN17" s="22">
        <v>0</v>
      </c>
      <c r="AO17" s="22">
        <v>1</v>
      </c>
      <c r="AP17" s="11"/>
      <c r="AQ17" s="15" t="b">
        <f t="shared" ca="1" si="13"/>
        <v>0</v>
      </c>
    </row>
    <row r="18" spans="1:43" x14ac:dyDescent="0.3">
      <c r="A18" s="11">
        <v>0</v>
      </c>
      <c r="B18" s="11">
        <v>1</v>
      </c>
      <c r="C18" s="11">
        <v>0</v>
      </c>
      <c r="D18" s="11">
        <v>0</v>
      </c>
      <c r="E18" s="11">
        <v>0</v>
      </c>
      <c r="F18" s="11">
        <v>0</v>
      </c>
      <c r="G18" s="11">
        <v>1</v>
      </c>
      <c r="H18" s="11">
        <v>1</v>
      </c>
      <c r="I18" s="11">
        <f t="shared" si="7"/>
        <v>67</v>
      </c>
      <c r="J18" s="12">
        <f t="shared" si="8"/>
        <v>1.7882352941176471</v>
      </c>
      <c r="K18" s="12">
        <f t="shared" si="9"/>
        <v>-5.2617439446366774</v>
      </c>
      <c r="L18" s="13">
        <f t="shared" si="10"/>
        <v>4.7382560553633226</v>
      </c>
      <c r="M18" s="11">
        <f t="shared" si="11"/>
        <v>9.4037989436970823E-2</v>
      </c>
      <c r="N18" s="11">
        <f t="shared" ca="1" si="12"/>
        <v>0.34114121970398292</v>
      </c>
      <c r="O18" s="11"/>
      <c r="P18" s="11">
        <v>1</v>
      </c>
      <c r="Q18" s="11">
        <v>1</v>
      </c>
      <c r="R18" s="11">
        <v>0</v>
      </c>
      <c r="S18" s="11">
        <v>1</v>
      </c>
      <c r="T18" s="11">
        <v>0</v>
      </c>
      <c r="U18" s="11">
        <v>1</v>
      </c>
      <c r="V18" s="11">
        <v>0</v>
      </c>
      <c r="W18" s="14">
        <v>1</v>
      </c>
      <c r="X18" s="11"/>
      <c r="Y18" s="22">
        <v>1</v>
      </c>
      <c r="Z18" s="22">
        <v>1</v>
      </c>
      <c r="AA18" s="22">
        <v>0</v>
      </c>
      <c r="AB18" s="22">
        <v>1</v>
      </c>
      <c r="AC18" s="22">
        <v>0</v>
      </c>
      <c r="AD18" s="22">
        <v>1</v>
      </c>
      <c r="AE18" s="22">
        <v>0</v>
      </c>
      <c r="AF18" s="22">
        <v>1</v>
      </c>
      <c r="AG18" s="22"/>
      <c r="AH18" s="22">
        <v>1</v>
      </c>
      <c r="AI18" s="22">
        <v>1</v>
      </c>
      <c r="AJ18" s="22">
        <v>0</v>
      </c>
      <c r="AK18" s="22">
        <v>1</v>
      </c>
      <c r="AL18" s="22">
        <v>0</v>
      </c>
      <c r="AM18" s="22">
        <v>1</v>
      </c>
      <c r="AN18" s="22">
        <v>0</v>
      </c>
      <c r="AO18" s="22">
        <v>1</v>
      </c>
      <c r="AP18" s="11"/>
      <c r="AQ18" s="15" t="b">
        <f t="shared" ca="1" si="13"/>
        <v>0</v>
      </c>
    </row>
    <row r="19" spans="1:43" x14ac:dyDescent="0.3">
      <c r="A19" s="11">
        <v>1</v>
      </c>
      <c r="B19" s="11">
        <v>1</v>
      </c>
      <c r="C19" s="11">
        <v>0</v>
      </c>
      <c r="D19" s="11">
        <v>0</v>
      </c>
      <c r="E19" s="11">
        <v>0</v>
      </c>
      <c r="F19" s="11">
        <v>1</v>
      </c>
      <c r="G19" s="11">
        <v>0</v>
      </c>
      <c r="H19" s="11">
        <v>1</v>
      </c>
      <c r="I19" s="11">
        <f t="shared" si="7"/>
        <v>197</v>
      </c>
      <c r="J19" s="12">
        <f t="shared" si="8"/>
        <v>3.3176470588235296</v>
      </c>
      <c r="K19" s="12">
        <f t="shared" si="9"/>
        <v>0.66607612456747667</v>
      </c>
      <c r="L19" s="13">
        <f t="shared" si="10"/>
        <v>9.3339238754325233</v>
      </c>
      <c r="M19" s="11">
        <f t="shared" si="11"/>
        <v>0.185246095725426</v>
      </c>
      <c r="N19" s="11">
        <f t="shared" ca="1" si="12"/>
        <v>0.28788590598497887</v>
      </c>
      <c r="O19" s="11"/>
      <c r="P19" s="14">
        <v>1</v>
      </c>
      <c r="Q19" s="14">
        <v>1</v>
      </c>
      <c r="R19" s="14">
        <v>0</v>
      </c>
      <c r="S19" s="11">
        <v>0</v>
      </c>
      <c r="T19" s="11">
        <v>0</v>
      </c>
      <c r="U19" s="11">
        <v>1</v>
      </c>
      <c r="V19" s="11">
        <v>0</v>
      </c>
      <c r="W19" s="11">
        <v>1</v>
      </c>
      <c r="X19" s="11"/>
      <c r="Y19" s="22">
        <v>1</v>
      </c>
      <c r="Z19" s="22">
        <v>1</v>
      </c>
      <c r="AA19" s="22">
        <v>0</v>
      </c>
      <c r="AB19" s="22">
        <v>0</v>
      </c>
      <c r="AC19" s="22">
        <v>1</v>
      </c>
      <c r="AD19" s="22">
        <v>0</v>
      </c>
      <c r="AE19" s="22">
        <v>1</v>
      </c>
      <c r="AF19" s="22">
        <v>1</v>
      </c>
      <c r="AG19" s="22"/>
      <c r="AH19" s="22">
        <v>1</v>
      </c>
      <c r="AI19" s="22">
        <v>1</v>
      </c>
      <c r="AJ19" s="22">
        <v>0</v>
      </c>
      <c r="AK19" s="22">
        <v>0</v>
      </c>
      <c r="AL19" s="22">
        <v>1</v>
      </c>
      <c r="AM19" s="22">
        <v>0</v>
      </c>
      <c r="AN19" s="22">
        <v>1</v>
      </c>
      <c r="AO19" s="22">
        <v>1</v>
      </c>
      <c r="AP19" s="11"/>
      <c r="AQ19" s="15" t="b">
        <f t="shared" ca="1" si="13"/>
        <v>0</v>
      </c>
    </row>
    <row r="20" spans="1:43" x14ac:dyDescent="0.3">
      <c r="A20" s="11">
        <v>1</v>
      </c>
      <c r="B20" s="11">
        <v>1</v>
      </c>
      <c r="C20" s="11">
        <v>0</v>
      </c>
      <c r="D20" s="16">
        <v>1</v>
      </c>
      <c r="E20" s="11">
        <v>0</v>
      </c>
      <c r="F20" s="11">
        <v>1</v>
      </c>
      <c r="G20" s="11">
        <v>0</v>
      </c>
      <c r="H20" s="11">
        <v>1</v>
      </c>
      <c r="I20" s="11">
        <f t="shared" si="7"/>
        <v>213</v>
      </c>
      <c r="J20" s="12">
        <f t="shared" si="8"/>
        <v>3.5058823529411764</v>
      </c>
      <c r="K20" s="12">
        <f t="shared" si="9"/>
        <v>1.7189757785467137</v>
      </c>
      <c r="L20" s="13">
        <f t="shared" si="10"/>
        <v>8.2810242214532863</v>
      </c>
      <c r="M20" s="11">
        <f t="shared" si="11"/>
        <v>0.16434968038142711</v>
      </c>
      <c r="N20" s="11">
        <f t="shared" ca="1" si="12"/>
        <v>0.76839203411133206</v>
      </c>
      <c r="O20" s="11"/>
      <c r="P20" s="11">
        <v>0</v>
      </c>
      <c r="Q20" s="11">
        <v>1</v>
      </c>
      <c r="R20" s="11">
        <v>1</v>
      </c>
      <c r="S20" s="14">
        <v>0</v>
      </c>
      <c r="T20" s="14">
        <v>1</v>
      </c>
      <c r="U20" s="14">
        <v>0</v>
      </c>
      <c r="V20" s="14">
        <v>1</v>
      </c>
      <c r="W20" s="14">
        <v>1</v>
      </c>
      <c r="X20" s="11"/>
      <c r="Y20" s="22">
        <v>0</v>
      </c>
      <c r="Z20" s="22">
        <v>1</v>
      </c>
      <c r="AA20" s="22">
        <v>1</v>
      </c>
      <c r="AB20" s="22">
        <v>0</v>
      </c>
      <c r="AC20" s="22">
        <v>0</v>
      </c>
      <c r="AD20" s="22">
        <v>1</v>
      </c>
      <c r="AE20" s="22">
        <v>0</v>
      </c>
      <c r="AF20" s="22">
        <v>1</v>
      </c>
      <c r="AG20" s="22"/>
      <c r="AH20" s="22">
        <v>0</v>
      </c>
      <c r="AI20" s="22">
        <v>1</v>
      </c>
      <c r="AJ20" s="22">
        <v>1</v>
      </c>
      <c r="AK20" s="22">
        <v>0</v>
      </c>
      <c r="AL20" s="22">
        <v>0</v>
      </c>
      <c r="AM20" s="22">
        <v>1</v>
      </c>
      <c r="AN20" s="22">
        <v>0</v>
      </c>
      <c r="AO20" s="22">
        <v>1</v>
      </c>
      <c r="AP20" s="11"/>
      <c r="AQ20" s="15" t="b">
        <f t="shared" ca="1" si="13"/>
        <v>0</v>
      </c>
    </row>
    <row r="21" spans="1:43" x14ac:dyDescent="0.3">
      <c r="A21" s="11">
        <v>1</v>
      </c>
      <c r="B21" s="11">
        <v>1</v>
      </c>
      <c r="C21" s="11">
        <v>0</v>
      </c>
      <c r="D21" s="11">
        <v>0</v>
      </c>
      <c r="E21" s="11">
        <v>1</v>
      </c>
      <c r="F21" s="11">
        <v>1</v>
      </c>
      <c r="G21" s="11">
        <v>1</v>
      </c>
      <c r="H21" s="11">
        <v>1</v>
      </c>
      <c r="I21" s="11">
        <f t="shared" si="7"/>
        <v>207</v>
      </c>
      <c r="J21" s="12">
        <f t="shared" si="8"/>
        <v>3.4352941176470591</v>
      </c>
      <c r="K21" s="12">
        <f t="shared" si="9"/>
        <v>1.3158339100346028</v>
      </c>
      <c r="L21" s="13">
        <f t="shared" si="10"/>
        <v>8.6841660899653981</v>
      </c>
      <c r="M21" s="11">
        <f t="shared" si="11"/>
        <v>0.17235065169445501</v>
      </c>
      <c r="N21" s="11">
        <f t="shared" ca="1" si="12"/>
        <v>0.92211240420399143</v>
      </c>
      <c r="O21" s="11"/>
      <c r="P21" s="14">
        <v>1</v>
      </c>
      <c r="Q21" s="14">
        <v>1</v>
      </c>
      <c r="R21" s="14">
        <v>0</v>
      </c>
      <c r="S21" s="14">
        <v>0</v>
      </c>
      <c r="T21" s="14">
        <v>1</v>
      </c>
      <c r="U21" s="11">
        <v>1</v>
      </c>
      <c r="V21" s="11">
        <v>0</v>
      </c>
      <c r="W21" s="11">
        <v>1</v>
      </c>
      <c r="X21" s="11"/>
      <c r="Y21" s="22">
        <v>1</v>
      </c>
      <c r="Z21" s="22">
        <v>1</v>
      </c>
      <c r="AA21" s="22">
        <v>0</v>
      </c>
      <c r="AB21" s="22">
        <v>0</v>
      </c>
      <c r="AC21" s="22">
        <v>1</v>
      </c>
      <c r="AD21" s="22">
        <v>0</v>
      </c>
      <c r="AE21" s="22">
        <v>1</v>
      </c>
      <c r="AF21" s="22">
        <v>1</v>
      </c>
      <c r="AG21" s="22"/>
      <c r="AH21" s="22">
        <v>1</v>
      </c>
      <c r="AI21" s="22">
        <v>1</v>
      </c>
      <c r="AJ21" s="22">
        <v>0</v>
      </c>
      <c r="AK21" s="22">
        <v>0</v>
      </c>
      <c r="AL21" s="22">
        <v>1</v>
      </c>
      <c r="AM21" s="22">
        <v>0</v>
      </c>
      <c r="AN21" s="22">
        <v>1</v>
      </c>
      <c r="AO21" s="22">
        <v>1</v>
      </c>
      <c r="AP21" s="11"/>
      <c r="AQ21" s="15" t="b">
        <f t="shared" ca="1" si="13"/>
        <v>0</v>
      </c>
    </row>
    <row r="22" spans="1:43" x14ac:dyDescent="0.3">
      <c r="A22" s="11">
        <v>0</v>
      </c>
      <c r="B22" s="11">
        <v>1</v>
      </c>
      <c r="C22" s="11">
        <v>1</v>
      </c>
      <c r="D22" s="11">
        <v>0</v>
      </c>
      <c r="E22" s="11">
        <v>1</v>
      </c>
      <c r="F22" s="11">
        <v>0</v>
      </c>
      <c r="G22" s="11">
        <v>1</v>
      </c>
      <c r="H22" s="11">
        <v>1</v>
      </c>
      <c r="I22" s="11">
        <f t="shared" si="7"/>
        <v>107</v>
      </c>
      <c r="J22" s="12">
        <f t="shared" si="8"/>
        <v>2.2588235294117647</v>
      </c>
      <c r="K22" s="12">
        <f t="shared" si="9"/>
        <v>-3.9360692041522491</v>
      </c>
      <c r="L22" s="13">
        <f t="shared" si="10"/>
        <v>6.0639307958477513</v>
      </c>
      <c r="M22" s="11">
        <f t="shared" si="11"/>
        <v>0.12034804650985198</v>
      </c>
      <c r="N22" s="11">
        <f t="shared" ca="1" si="12"/>
        <v>0.15881088320550751</v>
      </c>
      <c r="O22" s="11"/>
      <c r="P22" s="11">
        <v>0</v>
      </c>
      <c r="Q22" s="11">
        <v>1</v>
      </c>
      <c r="R22" s="11">
        <v>1</v>
      </c>
      <c r="S22" s="11">
        <v>0</v>
      </c>
      <c r="T22" s="11">
        <v>1</v>
      </c>
      <c r="U22" s="14">
        <v>0</v>
      </c>
      <c r="V22" s="14">
        <v>1</v>
      </c>
      <c r="W22" s="14">
        <v>1</v>
      </c>
      <c r="X22" s="11"/>
      <c r="Y22" s="22">
        <v>0</v>
      </c>
      <c r="Z22" s="22">
        <v>1</v>
      </c>
      <c r="AA22" s="22">
        <v>1</v>
      </c>
      <c r="AB22" s="22">
        <v>0</v>
      </c>
      <c r="AC22" s="22">
        <v>1</v>
      </c>
      <c r="AD22" s="22">
        <v>1</v>
      </c>
      <c r="AE22" s="22">
        <v>0</v>
      </c>
      <c r="AF22" s="22">
        <v>1</v>
      </c>
      <c r="AG22" s="22"/>
      <c r="AH22" s="22">
        <v>0</v>
      </c>
      <c r="AI22" s="22">
        <v>1</v>
      </c>
      <c r="AJ22" s="22">
        <v>1</v>
      </c>
      <c r="AK22" s="22">
        <v>0</v>
      </c>
      <c r="AL22" s="22">
        <v>1</v>
      </c>
      <c r="AM22" s="22">
        <v>1</v>
      </c>
      <c r="AN22" s="22">
        <v>0</v>
      </c>
      <c r="AO22" s="22">
        <v>1</v>
      </c>
      <c r="AP22" s="11"/>
      <c r="AQ22" s="15" t="b">
        <f t="shared" ca="1" si="13"/>
        <v>0</v>
      </c>
    </row>
    <row r="23" spans="1:43" x14ac:dyDescent="0.3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9" t="s">
        <v>7</v>
      </c>
      <c r="L23" s="20">
        <f>SUM(L15:L22)</f>
        <v>63.812415224913494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21">
        <v>1</v>
      </c>
    </row>
    <row r="25" spans="1:43" x14ac:dyDescent="0.3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8" t="s">
        <v>8</v>
      </c>
      <c r="Z25" s="8"/>
      <c r="AA25" s="8"/>
      <c r="AB25" s="8"/>
      <c r="AC25" s="8"/>
      <c r="AD25" s="8"/>
      <c r="AE25" s="8"/>
      <c r="AF25" s="8"/>
      <c r="AG25" s="7"/>
      <c r="AH25" s="8" t="s">
        <v>9</v>
      </c>
      <c r="AI25" s="8"/>
      <c r="AJ25" s="8"/>
      <c r="AK25" s="8"/>
      <c r="AL25" s="8"/>
      <c r="AM25" s="8"/>
      <c r="AN25" s="8"/>
      <c r="AO25" s="8"/>
      <c r="AP25" s="7"/>
      <c r="AQ25" s="9"/>
    </row>
    <row r="26" spans="1:43" ht="24" customHeight="1" x14ac:dyDescent="0.3">
      <c r="A26" s="23" t="s">
        <v>2</v>
      </c>
      <c r="B26" s="24"/>
      <c r="C26" s="24"/>
      <c r="D26" s="24"/>
      <c r="E26" s="24"/>
      <c r="F26" s="24"/>
      <c r="G26" s="24"/>
      <c r="H26" s="24"/>
      <c r="I26" s="25" t="s">
        <v>0</v>
      </c>
      <c r="J26" s="26" t="s">
        <v>1</v>
      </c>
      <c r="K26" s="25" t="s">
        <v>3</v>
      </c>
      <c r="L26" s="25" t="s">
        <v>4</v>
      </c>
      <c r="M26" s="25" t="s">
        <v>5</v>
      </c>
      <c r="N26" s="25" t="s">
        <v>12</v>
      </c>
      <c r="O26" s="25"/>
      <c r="P26" s="24" t="s">
        <v>6</v>
      </c>
      <c r="Q26" s="24"/>
      <c r="R26" s="24"/>
      <c r="S26" s="24"/>
      <c r="T26" s="24"/>
      <c r="U26" s="24"/>
      <c r="V26" s="24"/>
      <c r="W26" s="24"/>
      <c r="X26" s="27"/>
      <c r="Y26" s="24" t="str">
        <f ca="1">"Seleccionar "&amp; RANDBETWEEN(1,8)&amp;" valores"</f>
        <v>Seleccionar 2 valores</v>
      </c>
      <c r="Z26" s="24"/>
      <c r="AA26" s="24"/>
      <c r="AB26" s="24"/>
      <c r="AC26" s="24"/>
      <c r="AD26" s="24"/>
      <c r="AE26" s="24"/>
      <c r="AF26" s="24"/>
      <c r="AG26" s="27"/>
      <c r="AH26" s="24" t="str">
        <f ca="1">"Muta el gen numero "&amp;RANDBETWEEN(1,64)</f>
        <v>Muta el gen numero 9</v>
      </c>
      <c r="AI26" s="24"/>
      <c r="AJ26" s="24"/>
      <c r="AK26" s="24"/>
      <c r="AL26" s="24"/>
      <c r="AM26" s="24"/>
      <c r="AN26" s="24"/>
      <c r="AO26" s="24"/>
      <c r="AP26" s="25"/>
      <c r="AQ26" s="28" t="s">
        <v>11</v>
      </c>
    </row>
    <row r="27" spans="1:43" x14ac:dyDescent="0.3">
      <c r="A27" s="22">
        <v>0</v>
      </c>
      <c r="B27" s="22">
        <v>1</v>
      </c>
      <c r="C27" s="22">
        <v>1</v>
      </c>
      <c r="D27" s="22">
        <v>0</v>
      </c>
      <c r="E27" s="22">
        <v>1</v>
      </c>
      <c r="F27" s="22">
        <v>0</v>
      </c>
      <c r="G27" s="22">
        <v>1</v>
      </c>
      <c r="H27" s="22">
        <v>1</v>
      </c>
      <c r="I27" s="11">
        <f>BIN2DEC(_xlfn.CONCAT(A27:H27))</f>
        <v>107</v>
      </c>
      <c r="J27" s="12">
        <f>1+((I27/255)*3)</f>
        <v>2.2588235294117647</v>
      </c>
      <c r="K27" s="12">
        <f>POWER(J27,2)-(1.23*J27)-6.26</f>
        <v>-3.9360692041522491</v>
      </c>
      <c r="L27" s="13">
        <f>10-ABS(K27)</f>
        <v>6.0639307958477513</v>
      </c>
      <c r="M27" s="11">
        <f>L27/$L$11</f>
        <v>0.12034804650985198</v>
      </c>
      <c r="N27" s="11">
        <f ca="1">RAND()</f>
        <v>0.6581246858034614</v>
      </c>
      <c r="O27" s="11"/>
      <c r="P27" s="14"/>
      <c r="Q27" s="14"/>
      <c r="R27" s="14"/>
      <c r="S27" s="14"/>
      <c r="T27" s="11"/>
      <c r="U27" s="11"/>
      <c r="V27" s="11"/>
      <c r="W27" s="11"/>
      <c r="X27" s="1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11"/>
      <c r="AQ27" s="15" t="b">
        <f ca="1">M27&gt;N27</f>
        <v>0</v>
      </c>
    </row>
    <row r="28" spans="1:43" x14ac:dyDescent="0.3">
      <c r="A28" s="22">
        <v>1</v>
      </c>
      <c r="B28" s="16">
        <v>0</v>
      </c>
      <c r="C28" s="22">
        <v>0</v>
      </c>
      <c r="D28" s="22">
        <v>0</v>
      </c>
      <c r="E28" s="22">
        <v>1</v>
      </c>
      <c r="F28" s="22">
        <v>0</v>
      </c>
      <c r="G28" s="22">
        <v>1</v>
      </c>
      <c r="H28" s="22">
        <v>1</v>
      </c>
      <c r="I28" s="11">
        <f t="shared" ref="I28:I34" si="14">BIN2DEC(_xlfn.CONCAT(A28:H28))</f>
        <v>139</v>
      </c>
      <c r="J28" s="12">
        <f t="shared" ref="J28:J34" si="15">1+((I28/255)*3)</f>
        <v>2.6352941176470588</v>
      </c>
      <c r="K28" s="12">
        <f t="shared" ref="K28:K34" si="16">POWER(J28,2)-(1.23*J28)-6.26</f>
        <v>-2.5566366782006917</v>
      </c>
      <c r="L28" s="13">
        <f t="shared" ref="L28:L34" si="17">10-ABS(K28)</f>
        <v>7.4433633217993087</v>
      </c>
      <c r="M28" s="11">
        <f t="shared" ref="M28:M34" si="18">L28/$L$11</f>
        <v>0.14772500963484289</v>
      </c>
      <c r="N28" s="11">
        <f t="shared" ref="N28:N34" ca="1" si="19">RAND()</f>
        <v>0.19575729167105904</v>
      </c>
      <c r="O28" s="11"/>
      <c r="P28" s="11"/>
      <c r="Q28" s="11"/>
      <c r="R28" s="11"/>
      <c r="S28" s="11"/>
      <c r="T28" s="14"/>
      <c r="U28" s="14"/>
      <c r="V28" s="14"/>
      <c r="W28" s="14"/>
      <c r="X28" s="11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11"/>
      <c r="AQ28" s="15" t="b">
        <f t="shared" ref="AQ28:AQ34" ca="1" si="20">M28&gt;N28</f>
        <v>0</v>
      </c>
    </row>
    <row r="29" spans="1:43" x14ac:dyDescent="0.3">
      <c r="A29" s="22">
        <v>1</v>
      </c>
      <c r="B29" s="22">
        <v>1</v>
      </c>
      <c r="C29" s="22">
        <v>0</v>
      </c>
      <c r="D29" s="22">
        <v>0</v>
      </c>
      <c r="E29" s="22">
        <v>0</v>
      </c>
      <c r="F29" s="22">
        <v>1</v>
      </c>
      <c r="G29" s="22">
        <v>0</v>
      </c>
      <c r="H29" s="22">
        <v>1</v>
      </c>
      <c r="I29" s="11">
        <f t="shared" si="14"/>
        <v>197</v>
      </c>
      <c r="J29" s="12">
        <f t="shared" si="15"/>
        <v>3.3176470588235296</v>
      </c>
      <c r="K29" s="12">
        <f t="shared" si="16"/>
        <v>0.66607612456747667</v>
      </c>
      <c r="L29" s="13">
        <f t="shared" si="17"/>
        <v>9.3339238754325233</v>
      </c>
      <c r="M29" s="11">
        <f t="shared" si="18"/>
        <v>0.185246095725426</v>
      </c>
      <c r="N29" s="11">
        <f t="shared" ca="1" si="19"/>
        <v>0.11464912107212011</v>
      </c>
      <c r="O29" s="11"/>
      <c r="P29" s="14"/>
      <c r="Q29" s="14"/>
      <c r="R29" s="14"/>
      <c r="S29" s="14"/>
      <c r="T29" s="14"/>
      <c r="U29" s="14"/>
      <c r="V29" s="14"/>
      <c r="W29" s="11"/>
      <c r="X29" s="11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11"/>
      <c r="AQ29" s="15" t="b">
        <f t="shared" ca="1" si="20"/>
        <v>1</v>
      </c>
    </row>
    <row r="30" spans="1:43" x14ac:dyDescent="0.3">
      <c r="A30" s="22">
        <v>1</v>
      </c>
      <c r="B30" s="22">
        <v>1</v>
      </c>
      <c r="C30" s="22">
        <v>0</v>
      </c>
      <c r="D30" s="22">
        <v>1</v>
      </c>
      <c r="E30" s="22">
        <v>0</v>
      </c>
      <c r="F30" s="22">
        <v>1</v>
      </c>
      <c r="G30" s="22">
        <v>0</v>
      </c>
      <c r="H30" s="22">
        <v>1</v>
      </c>
      <c r="I30" s="11">
        <f t="shared" si="14"/>
        <v>213</v>
      </c>
      <c r="J30" s="12">
        <f t="shared" si="15"/>
        <v>3.5058823529411764</v>
      </c>
      <c r="K30" s="12">
        <f t="shared" si="16"/>
        <v>1.7189757785467137</v>
      </c>
      <c r="L30" s="13">
        <f t="shared" si="17"/>
        <v>8.2810242214532863</v>
      </c>
      <c r="M30" s="11">
        <f t="shared" si="18"/>
        <v>0.16434968038142711</v>
      </c>
      <c r="N30" s="11">
        <f t="shared" ca="1" si="19"/>
        <v>0.47424590515503806</v>
      </c>
      <c r="O30" s="11"/>
      <c r="P30" s="11"/>
      <c r="Q30" s="11"/>
      <c r="R30" s="11"/>
      <c r="S30" s="11"/>
      <c r="T30" s="11"/>
      <c r="U30" s="11"/>
      <c r="V30" s="11"/>
      <c r="W30" s="14"/>
      <c r="X30" s="11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11"/>
      <c r="AQ30" s="15" t="b">
        <f t="shared" ca="1" si="20"/>
        <v>0</v>
      </c>
    </row>
    <row r="31" spans="1:43" x14ac:dyDescent="0.3">
      <c r="A31" s="22">
        <v>1</v>
      </c>
      <c r="B31" s="22">
        <v>1</v>
      </c>
      <c r="C31" s="22">
        <v>0</v>
      </c>
      <c r="D31" s="22">
        <v>0</v>
      </c>
      <c r="E31" s="22">
        <v>1</v>
      </c>
      <c r="F31" s="22">
        <v>0</v>
      </c>
      <c r="G31" s="22">
        <v>1</v>
      </c>
      <c r="H31" s="22">
        <v>1</v>
      </c>
      <c r="I31" s="11">
        <f t="shared" si="14"/>
        <v>203</v>
      </c>
      <c r="J31" s="12">
        <f t="shared" si="15"/>
        <v>3.388235294117647</v>
      </c>
      <c r="K31" s="12">
        <f t="shared" si="16"/>
        <v>1.0526089965397922</v>
      </c>
      <c r="L31" s="13">
        <f t="shared" si="17"/>
        <v>8.9473910034602078</v>
      </c>
      <c r="M31" s="11">
        <f t="shared" si="18"/>
        <v>0.17757475553045474</v>
      </c>
      <c r="N31" s="11">
        <f t="shared" ca="1" si="19"/>
        <v>0.88235434975490024</v>
      </c>
      <c r="O31" s="11"/>
      <c r="P31" s="14"/>
      <c r="Q31" s="14"/>
      <c r="R31" s="14"/>
      <c r="S31" s="11"/>
      <c r="T31" s="11"/>
      <c r="U31" s="11"/>
      <c r="V31" s="11"/>
      <c r="W31" s="11"/>
      <c r="X31" s="11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11"/>
      <c r="AQ31" s="15" t="b">
        <f t="shared" ca="1" si="20"/>
        <v>0</v>
      </c>
    </row>
    <row r="32" spans="1:43" x14ac:dyDescent="0.3">
      <c r="A32" s="22">
        <v>0</v>
      </c>
      <c r="B32" s="22">
        <v>1</v>
      </c>
      <c r="C32" s="22">
        <v>1</v>
      </c>
      <c r="D32" s="22">
        <v>0</v>
      </c>
      <c r="E32" s="22">
        <v>0</v>
      </c>
      <c r="F32" s="22">
        <v>1</v>
      </c>
      <c r="G32" s="22">
        <v>0</v>
      </c>
      <c r="H32" s="22">
        <v>1</v>
      </c>
      <c r="I32" s="11">
        <f t="shared" si="14"/>
        <v>101</v>
      </c>
      <c r="J32" s="12">
        <f t="shared" si="15"/>
        <v>2.1882352941176473</v>
      </c>
      <c r="K32" s="12">
        <f t="shared" si="16"/>
        <v>-4.1631557093425595</v>
      </c>
      <c r="L32" s="13">
        <f t="shared" si="17"/>
        <v>5.8368442906574405</v>
      </c>
      <c r="M32" s="11">
        <f t="shared" si="18"/>
        <v>0.11584116504822367</v>
      </c>
      <c r="N32" s="11">
        <f t="shared" ca="1" si="19"/>
        <v>0.55802162837064617</v>
      </c>
      <c r="O32" s="11"/>
      <c r="P32" s="11"/>
      <c r="Q32" s="11"/>
      <c r="R32" s="11"/>
      <c r="S32" s="14"/>
      <c r="T32" s="14"/>
      <c r="U32" s="14"/>
      <c r="V32" s="14"/>
      <c r="W32" s="14"/>
      <c r="X32" s="11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11"/>
      <c r="AQ32" s="15" t="b">
        <f t="shared" ca="1" si="20"/>
        <v>0</v>
      </c>
    </row>
    <row r="33" spans="1:43" x14ac:dyDescent="0.3">
      <c r="A33" s="22">
        <v>1</v>
      </c>
      <c r="B33" s="22">
        <v>1</v>
      </c>
      <c r="C33" s="22">
        <v>0</v>
      </c>
      <c r="D33" s="22">
        <v>0</v>
      </c>
      <c r="E33" s="22">
        <v>1</v>
      </c>
      <c r="F33" s="22">
        <v>0</v>
      </c>
      <c r="G33" s="22">
        <v>1</v>
      </c>
      <c r="H33" s="22">
        <v>1</v>
      </c>
      <c r="I33" s="11">
        <f t="shared" si="14"/>
        <v>203</v>
      </c>
      <c r="J33" s="12">
        <f t="shared" si="15"/>
        <v>3.388235294117647</v>
      </c>
      <c r="K33" s="12">
        <f t="shared" si="16"/>
        <v>1.0526089965397922</v>
      </c>
      <c r="L33" s="13">
        <f t="shared" si="17"/>
        <v>8.9473910034602078</v>
      </c>
      <c r="M33" s="11">
        <f t="shared" si="18"/>
        <v>0.17757475553045474</v>
      </c>
      <c r="N33" s="11">
        <f t="shared" ca="1" si="19"/>
        <v>0.7821199565605742</v>
      </c>
      <c r="O33" s="11"/>
      <c r="P33" s="14"/>
      <c r="Q33" s="14"/>
      <c r="R33" s="14"/>
      <c r="S33" s="14"/>
      <c r="T33" s="14"/>
      <c r="U33" s="11"/>
      <c r="V33" s="11"/>
      <c r="W33" s="11"/>
      <c r="X33" s="1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11"/>
      <c r="AQ33" s="15" t="b">
        <f t="shared" ca="1" si="20"/>
        <v>0</v>
      </c>
    </row>
    <row r="34" spans="1:43" x14ac:dyDescent="0.3">
      <c r="A34" s="22">
        <v>0</v>
      </c>
      <c r="B34" s="22">
        <v>1</v>
      </c>
      <c r="C34" s="22">
        <v>1</v>
      </c>
      <c r="D34" s="22">
        <v>0</v>
      </c>
      <c r="E34" s="22">
        <v>1</v>
      </c>
      <c r="F34" s="22">
        <v>1</v>
      </c>
      <c r="G34" s="22">
        <v>0</v>
      </c>
      <c r="H34" s="22">
        <v>1</v>
      </c>
      <c r="I34" s="11">
        <f t="shared" si="14"/>
        <v>109</v>
      </c>
      <c r="J34" s="12">
        <f t="shared" si="15"/>
        <v>2.2823529411764705</v>
      </c>
      <c r="K34" s="12">
        <f t="shared" si="16"/>
        <v>-3.8581591695501731</v>
      </c>
      <c r="L34" s="13">
        <f t="shared" si="17"/>
        <v>6.1418408304498264</v>
      </c>
      <c r="M34" s="11">
        <f t="shared" si="18"/>
        <v>0.12189429114613562</v>
      </c>
      <c r="N34" s="11">
        <f t="shared" ca="1" si="19"/>
        <v>0.27428503817285899</v>
      </c>
      <c r="O34" s="11"/>
      <c r="P34" s="11"/>
      <c r="Q34" s="11"/>
      <c r="R34" s="11"/>
      <c r="S34" s="11"/>
      <c r="T34" s="11"/>
      <c r="U34" s="14"/>
      <c r="V34" s="14"/>
      <c r="W34" s="14"/>
      <c r="X34" s="11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11"/>
      <c r="AQ34" s="15" t="b">
        <f t="shared" ca="1" si="20"/>
        <v>0</v>
      </c>
    </row>
    <row r="35" spans="1:43" x14ac:dyDescent="0.3">
      <c r="A35" s="17"/>
      <c r="B35" s="18"/>
      <c r="C35" s="18"/>
      <c r="D35" s="18"/>
      <c r="E35" s="18"/>
      <c r="F35" s="18"/>
      <c r="G35" s="18"/>
      <c r="H35" s="18"/>
      <c r="I35" s="18"/>
      <c r="J35" s="18"/>
      <c r="K35" s="19" t="s">
        <v>7</v>
      </c>
      <c r="L35" s="20">
        <f>SUM(L27:L34)</f>
        <v>60.995709342560545</v>
      </c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21">
        <v>1</v>
      </c>
    </row>
  </sheetData>
  <mergeCells count="18">
    <mergeCell ref="Y25:AF25"/>
    <mergeCell ref="AH25:AO25"/>
    <mergeCell ref="A26:H26"/>
    <mergeCell ref="P26:W26"/>
    <mergeCell ref="Y26:AF26"/>
    <mergeCell ref="AH26:AO26"/>
    <mergeCell ref="AH1:AO1"/>
    <mergeCell ref="AH2:AO2"/>
    <mergeCell ref="Y13:AF13"/>
    <mergeCell ref="AH13:AO13"/>
    <mergeCell ref="A14:H14"/>
    <mergeCell ref="P14:W14"/>
    <mergeCell ref="Y14:AF14"/>
    <mergeCell ref="AH14:AO14"/>
    <mergeCell ref="A2:H2"/>
    <mergeCell ref="P2:W2"/>
    <mergeCell ref="Y2:AF2"/>
    <mergeCell ref="Y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Prueba1</vt:lpstr>
      <vt:lpstr>Prueba2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Ospina</dc:creator>
  <cp:lastModifiedBy>Santiago Ospina</cp:lastModifiedBy>
  <dcterms:created xsi:type="dcterms:W3CDTF">2026-09-08T16:58:39Z</dcterms:created>
  <dcterms:modified xsi:type="dcterms:W3CDTF">2026-09-10T16:58:24Z</dcterms:modified>
</cp:coreProperties>
</file>